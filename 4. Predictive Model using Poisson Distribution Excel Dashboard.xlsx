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briancahernawan/Documents/Data Analyst/1. Porto/1. Excel/4. Predictive Model using Poisson Distribution Excel Gsheet Dashboard /"/>
    </mc:Choice>
  </mc:AlternateContent>
  <xr:revisionPtr revIDLastSave="0" documentId="13_ncr:1_{743C276F-E614-5443-8320-79798A0869A6}" xr6:coauthVersionLast="47" xr6:coauthVersionMax="47" xr10:uidLastSave="{00000000-0000-0000-0000-000000000000}"/>
  <bookViews>
    <workbookView xWindow="0" yWindow="500" windowWidth="33600" windowHeight="18880" xr2:uid="{00000000-000D-0000-FFFF-FFFF00000000}"/>
  </bookViews>
  <sheets>
    <sheet name="Predictive Model" sheetId="1" r:id="rId1"/>
    <sheet name="Data Source" sheetId="2" r:id="rId2"/>
  </sheets>
  <definedNames>
    <definedName name="ATT">'Data Source'!$K$2:$K$21</definedName>
    <definedName name="Avg">'Data Source'!$G$24</definedName>
    <definedName name="DEF">'Data Source'!$L$2:$L$21</definedName>
    <definedName name="teams">'Data Source'!$B$2:$B$21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1" l="1"/>
  <c r="M33" i="1"/>
  <c r="L33" i="1"/>
  <c r="K33" i="1"/>
  <c r="J33" i="1"/>
  <c r="I33" i="1"/>
  <c r="H33" i="1"/>
  <c r="G33" i="1"/>
  <c r="F33" i="1"/>
  <c r="E33" i="1"/>
  <c r="D33" i="1"/>
  <c r="G32" i="1"/>
  <c r="N32" i="1"/>
  <c r="M32" i="1"/>
  <c r="L32" i="1"/>
  <c r="K32" i="1"/>
  <c r="J32" i="1"/>
  <c r="I32" i="1"/>
  <c r="H32" i="1"/>
  <c r="F32" i="1"/>
  <c r="E32" i="1"/>
  <c r="D32" i="1"/>
  <c r="N31" i="1"/>
  <c r="M31" i="1"/>
  <c r="L31" i="1"/>
  <c r="K31" i="1"/>
  <c r="J31" i="1"/>
  <c r="I31" i="1"/>
  <c r="H31" i="1"/>
  <c r="G31" i="1"/>
  <c r="F31" i="1"/>
  <c r="E31" i="1"/>
  <c r="D31" i="1"/>
  <c r="M30" i="1"/>
  <c r="N30" i="1"/>
  <c r="L30" i="1"/>
  <c r="K30" i="1"/>
  <c r="J30" i="1"/>
  <c r="I30" i="1"/>
  <c r="H30" i="1"/>
  <c r="G30" i="1"/>
  <c r="F30" i="1"/>
  <c r="E30" i="1"/>
  <c r="D30" i="1"/>
  <c r="M29" i="1"/>
  <c r="J28" i="1"/>
  <c r="I28" i="1"/>
  <c r="N29" i="1"/>
  <c r="L29" i="1"/>
  <c r="K29" i="1"/>
  <c r="J29" i="1"/>
  <c r="I29" i="1"/>
  <c r="H29" i="1"/>
  <c r="G29" i="1"/>
  <c r="F29" i="1"/>
  <c r="E29" i="1"/>
  <c r="D29" i="1"/>
  <c r="N28" i="1"/>
  <c r="M28" i="1"/>
  <c r="L28" i="1"/>
  <c r="K28" i="1"/>
  <c r="H28" i="1"/>
  <c r="G28" i="1"/>
  <c r="F28" i="1"/>
  <c r="E28" i="1"/>
  <c r="D28" i="1"/>
  <c r="L27" i="1"/>
  <c r="N27" i="1"/>
  <c r="M27" i="1"/>
  <c r="K27" i="1"/>
  <c r="J27" i="1"/>
  <c r="I27" i="1"/>
  <c r="H27" i="1"/>
  <c r="G27" i="1"/>
  <c r="E27" i="1"/>
  <c r="F27" i="1"/>
  <c r="D27" i="1"/>
  <c r="M26" i="1"/>
  <c r="L26" i="1"/>
  <c r="K26" i="1"/>
  <c r="N26" i="1"/>
  <c r="J26" i="1"/>
  <c r="I26" i="1"/>
  <c r="H26" i="1"/>
  <c r="G26" i="1"/>
  <c r="F26" i="1"/>
  <c r="E26" i="1"/>
  <c r="D26" i="1"/>
  <c r="N25" i="1"/>
  <c r="M25" i="1"/>
  <c r="L25" i="1"/>
  <c r="K25" i="1"/>
  <c r="J25" i="1"/>
  <c r="I25" i="1"/>
  <c r="H25" i="1"/>
  <c r="G25" i="1"/>
  <c r="F25" i="1"/>
  <c r="E25" i="1"/>
  <c r="D25" i="1"/>
  <c r="K24" i="1"/>
  <c r="N24" i="1"/>
  <c r="M24" i="1"/>
  <c r="L24" i="1"/>
  <c r="J24" i="1"/>
  <c r="I24" i="1"/>
  <c r="H24" i="1"/>
  <c r="G24" i="1"/>
  <c r="F24" i="1"/>
  <c r="E24" i="1"/>
  <c r="D24" i="1"/>
  <c r="N23" i="1"/>
  <c r="M23" i="1"/>
  <c r="L23" i="1"/>
  <c r="K23" i="1"/>
  <c r="J23" i="1"/>
  <c r="I23" i="1"/>
  <c r="H23" i="1"/>
  <c r="G23" i="1"/>
  <c r="F23" i="1"/>
  <c r="E23" i="1"/>
  <c r="D23" i="1"/>
  <c r="C3" i="1"/>
  <c r="B3" i="1"/>
  <c r="G24" i="2"/>
  <c r="L21" i="2" s="1"/>
  <c r="L20" i="2"/>
  <c r="K20" i="2"/>
  <c r="L19" i="2"/>
  <c r="K19" i="2"/>
  <c r="K18" i="2"/>
  <c r="K17" i="2"/>
  <c r="L16" i="2"/>
  <c r="K16" i="2"/>
  <c r="L15" i="2"/>
  <c r="K15" i="2"/>
  <c r="L14" i="2"/>
  <c r="K14" i="2"/>
  <c r="K13" i="2"/>
  <c r="L12" i="2"/>
  <c r="K12" i="2"/>
  <c r="L11" i="2"/>
  <c r="K11" i="2"/>
  <c r="L10" i="2"/>
  <c r="K10" i="2"/>
  <c r="K9" i="2"/>
  <c r="L8" i="2"/>
  <c r="K8" i="2"/>
  <c r="L7" i="2"/>
  <c r="K7" i="2"/>
  <c r="L6" i="2"/>
  <c r="K6" i="2"/>
  <c r="K5" i="2"/>
  <c r="L4" i="2"/>
  <c r="K4" i="2"/>
  <c r="L3" i="2"/>
  <c r="K3" i="2"/>
  <c r="L2" i="2"/>
  <c r="K2" i="2"/>
  <c r="F7" i="1"/>
  <c r="E7" i="1"/>
  <c r="D7" i="1"/>
  <c r="C7" i="1"/>
  <c r="D17" i="1" l="1"/>
  <c r="D15" i="1"/>
  <c r="D13" i="1"/>
  <c r="D11" i="1"/>
  <c r="D9" i="1"/>
  <c r="D12" i="1"/>
  <c r="D10" i="1"/>
  <c r="D18" i="1"/>
  <c r="D8" i="1"/>
  <c r="D16" i="1"/>
  <c r="D14" i="1"/>
  <c r="C15" i="1"/>
  <c r="C13" i="1"/>
  <c r="C11" i="1"/>
  <c r="C17" i="1"/>
  <c r="C9" i="1"/>
  <c r="E9" i="1" s="1"/>
  <c r="C8" i="1"/>
  <c r="C18" i="1"/>
  <c r="C16" i="1"/>
  <c r="C14" i="1"/>
  <c r="C12" i="1"/>
  <c r="C10" i="1"/>
  <c r="E10" i="1" s="1"/>
  <c r="L18" i="2"/>
  <c r="K21" i="2"/>
  <c r="L5" i="2"/>
  <c r="L9" i="2"/>
  <c r="L13" i="2"/>
  <c r="L17" i="2"/>
  <c r="E15" i="1" l="1"/>
  <c r="E12" i="1"/>
  <c r="E14" i="1"/>
  <c r="E16" i="1"/>
  <c r="E17" i="1"/>
  <c r="E11" i="1"/>
  <c r="F2" i="1" s="1"/>
  <c r="E13" i="1"/>
  <c r="E18" i="1"/>
  <c r="F18" i="1"/>
  <c r="F10" i="1"/>
  <c r="F12" i="1"/>
  <c r="F9" i="1"/>
  <c r="F11" i="1"/>
  <c r="F14" i="1"/>
  <c r="F13" i="1"/>
  <c r="F16" i="1"/>
  <c r="F15" i="1"/>
  <c r="F17" i="1"/>
  <c r="F3" i="1" l="1"/>
  <c r="G2" i="1"/>
  <c r="G3" i="1" s="1"/>
  <c r="H2" i="1" l="1"/>
  <c r="H3" i="1" s="1"/>
</calcChain>
</file>

<file path=xl/sharedStrings.xml><?xml version="1.0" encoding="utf-8"?>
<sst xmlns="http://schemas.openxmlformats.org/spreadsheetml/2006/main" count="48" uniqueCount="45">
  <si>
    <t>Home</t>
  </si>
  <si>
    <t>Away</t>
  </si>
  <si>
    <t>Win</t>
  </si>
  <si>
    <t>Draw</t>
  </si>
  <si>
    <t>Choose the match here</t>
  </si>
  <si>
    <t>Frosinone</t>
  </si>
  <si>
    <t>Inter</t>
  </si>
  <si>
    <t>Probability</t>
  </si>
  <si>
    <t>Expected goals</t>
  </si>
  <si>
    <t>Betting Scores</t>
  </si>
  <si>
    <t>Probability of scoring x amount of goals</t>
  </si>
  <si>
    <t>Poisson Distribution</t>
  </si>
  <si>
    <t>Goals</t>
  </si>
  <si>
    <t>Probabilis of each goals combination</t>
  </si>
  <si>
    <t>Position</t>
  </si>
  <si>
    <t>Team</t>
  </si>
  <si>
    <t>Games Played</t>
  </si>
  <si>
    <t>Wins</t>
  </si>
  <si>
    <t>Draws</t>
  </si>
  <si>
    <t>Losses</t>
  </si>
  <si>
    <t>Goals For</t>
  </si>
  <si>
    <t>Goals Against</t>
  </si>
  <si>
    <t>Goal Difference</t>
  </si>
  <si>
    <t>Points</t>
  </si>
  <si>
    <t>Attack Rating</t>
  </si>
  <si>
    <t>Defense Rating</t>
  </si>
  <si>
    <t>AC Milan</t>
  </si>
  <si>
    <t>Juventus</t>
  </si>
  <si>
    <t>Bologna</t>
  </si>
  <si>
    <t>Roma</t>
  </si>
  <si>
    <t>Atalanta</t>
  </si>
  <si>
    <t>Lazio</t>
  </si>
  <si>
    <t>Florentina</t>
  </si>
  <si>
    <t>Napoli</t>
  </si>
  <si>
    <t>Torino</t>
  </si>
  <si>
    <t>Monza</t>
  </si>
  <si>
    <t>Genoa</t>
  </si>
  <si>
    <t>Lecce</t>
  </si>
  <si>
    <t>Verona</t>
  </si>
  <si>
    <t>Cagliari</t>
  </si>
  <si>
    <t>Empoli</t>
  </si>
  <si>
    <t>Udinese</t>
  </si>
  <si>
    <t>Sassuolo</t>
  </si>
  <si>
    <t>Salernitana</t>
  </si>
  <si>
    <t>Average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</si>
</sst>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Helvetica Neue"/>
      <family val="2"/>
    </font>
    <font>
      <sz val="14"/>
      <color theme="1"/>
      <name val="Helvetica Neue"/>
      <family val="2"/>
    </font>
    <font>
      <sz val="12"/>
      <color theme="1"/>
      <name val="Helvetica Neue"/>
      <family val="2"/>
    </font>
    <font>
      <b/>
      <sz val="10"/>
      <color theme="1"/>
      <name val="Helvetica Neue"/>
      <family val="2"/>
    </font>
    <font>
      <b/>
      <sz val="16"/>
      <color theme="1"/>
      <name val="Helvetica Neue"/>
      <family val="2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/>
    <xf numFmtId="0" fontId="3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4" xfId="0" applyFont="1" applyBorder="1"/>
    <xf numFmtId="10" fontId="1" fillId="0" borderId="0" xfId="0" applyNumberFormat="1" applyFont="1"/>
    <xf numFmtId="10" fontId="1" fillId="0" borderId="5" xfId="0" applyNumberFormat="1" applyFont="1" applyBorder="1"/>
    <xf numFmtId="0" fontId="3" fillId="0" borderId="6" xfId="0" applyFont="1" applyBorder="1" applyAlignment="1">
      <alignment horizontal="center"/>
    </xf>
    <xf numFmtId="2" fontId="4" fillId="0" borderId="7" xfId="0" applyNumberFormat="1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0" fontId="1" fillId="0" borderId="6" xfId="0" applyFont="1" applyBorder="1"/>
    <xf numFmtId="4" fontId="1" fillId="0" borderId="7" xfId="0" applyNumberFormat="1" applyFont="1" applyBorder="1"/>
    <xf numFmtId="4" fontId="1" fillId="0" borderId="8" xfId="0" applyNumberFormat="1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10" fontId="1" fillId="0" borderId="7" xfId="0" applyNumberFormat="1" applyFont="1" applyBorder="1"/>
    <xf numFmtId="10" fontId="1" fillId="0" borderId="8" xfId="0" applyNumberFormat="1" applyFont="1" applyBorder="1"/>
    <xf numFmtId="9" fontId="1" fillId="0" borderId="1" xfId="0" applyNumberFormat="1" applyFont="1" applyBorder="1"/>
    <xf numFmtId="9" fontId="1" fillId="0" borderId="2" xfId="0" applyNumberFormat="1" applyFont="1" applyBorder="1"/>
    <xf numFmtId="9" fontId="1" fillId="0" borderId="3" xfId="0" applyNumberFormat="1" applyFont="1" applyBorder="1"/>
    <xf numFmtId="9" fontId="1" fillId="0" borderId="4" xfId="0" applyNumberFormat="1" applyFont="1" applyBorder="1"/>
    <xf numFmtId="9" fontId="1" fillId="0" borderId="0" xfId="0" applyNumberFormat="1" applyFont="1"/>
    <xf numFmtId="9" fontId="1" fillId="0" borderId="5" xfId="0" applyNumberFormat="1" applyFont="1" applyBorder="1"/>
    <xf numFmtId="9" fontId="1" fillId="0" borderId="6" xfId="0" applyNumberFormat="1" applyFont="1" applyBorder="1"/>
    <xf numFmtId="9" fontId="1" fillId="0" borderId="7" xfId="0" applyNumberFormat="1" applyFont="1" applyBorder="1"/>
    <xf numFmtId="9" fontId="1" fillId="0" borderId="8" xfId="0" applyNumberFormat="1" applyFont="1" applyBorder="1"/>
    <xf numFmtId="0" fontId="7" fillId="2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3" borderId="0" xfId="0" applyFont="1" applyFill="1"/>
    <xf numFmtId="2" fontId="7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6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O33" sqref="O33"/>
    </sheetView>
  </sheetViews>
  <sheetFormatPr baseColWidth="10" defaultColWidth="12.6640625" defaultRowHeight="15.75" customHeight="1" x14ac:dyDescent="0.15"/>
  <cols>
    <col min="1" max="1" width="22.6640625" customWidth="1"/>
    <col min="2" max="2" width="16.1640625" customWidth="1"/>
    <col min="3" max="3" width="18.1640625" customWidth="1"/>
    <col min="5" max="5" width="15.6640625" customWidth="1"/>
  </cols>
  <sheetData>
    <row r="1" spans="1:26" x14ac:dyDescent="0.2">
      <c r="A1" s="1"/>
      <c r="B1" s="2" t="s">
        <v>0</v>
      </c>
      <c r="C1" s="3" t="s">
        <v>1</v>
      </c>
      <c r="D1" s="4"/>
      <c r="E1" s="1"/>
      <c r="F1" s="2" t="s">
        <v>2</v>
      </c>
      <c r="G1" s="2" t="s">
        <v>2</v>
      </c>
      <c r="H1" s="3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5" t="s">
        <v>4</v>
      </c>
      <c r="B2" s="4" t="s">
        <v>5</v>
      </c>
      <c r="C2" s="6" t="s">
        <v>26</v>
      </c>
      <c r="D2" s="4"/>
      <c r="E2" s="7" t="s">
        <v>7</v>
      </c>
      <c r="F2" s="8">
        <f t="shared" ref="F2:G2" si="0">SUM(E9:E18)</f>
        <v>0.13981521487902107</v>
      </c>
      <c r="G2" s="8">
        <f t="shared" si="0"/>
        <v>0.69795660250939073</v>
      </c>
      <c r="H2" s="9">
        <f>1-(SUM(F2:G2))</f>
        <v>0.16222818261158822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0" t="s">
        <v>8</v>
      </c>
      <c r="B3" s="11">
        <f>_xlfn.XLOOKUP(B2,teams,ATT)*_xlfn.XLOOKUP(C2,teams,DEF)*Avg</f>
        <v>1.1419132653061224</v>
      </c>
      <c r="C3" s="12">
        <f>_xlfn.XLOOKUP(C2,teams,ATT)*_xlfn.XLOOKUP(B2,teams,DEF)*Avg</f>
        <v>2.6688903061224489</v>
      </c>
      <c r="D3" s="4"/>
      <c r="E3" s="13" t="s">
        <v>9</v>
      </c>
      <c r="F3" s="14">
        <f t="shared" ref="F3:H3" si="1">1/F2</f>
        <v>7.1522974153083219</v>
      </c>
      <c r="G3" s="14">
        <f t="shared" si="1"/>
        <v>1.4327538365632775</v>
      </c>
      <c r="H3" s="15">
        <f t="shared" si="1"/>
        <v>6.1641570774064034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38" t="s">
        <v>10</v>
      </c>
      <c r="B6" s="41" t="s">
        <v>11</v>
      </c>
      <c r="C6" s="42"/>
      <c r="D6" s="42"/>
      <c r="E6" s="42"/>
      <c r="F6" s="4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39"/>
      <c r="B7" s="16" t="s">
        <v>12</v>
      </c>
      <c r="C7" s="16" t="str">
        <f t="shared" ref="C7:D7" si="2">CONCATENATE(B2," ","Goals")</f>
        <v>Frosinone Goals</v>
      </c>
      <c r="D7" s="16" t="str">
        <f t="shared" si="2"/>
        <v>AC Milan Goals</v>
      </c>
      <c r="E7" s="16" t="str">
        <f t="shared" ref="E7:F7" si="3">CONCATENATE(B2," ","Goals")</f>
        <v>Frosinone Goals</v>
      </c>
      <c r="F7" s="17" t="str">
        <f t="shared" si="3"/>
        <v>AC Milan Goals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15">
      <c r="A8" s="39"/>
      <c r="B8" s="18">
        <v>0</v>
      </c>
      <c r="C8" s="8">
        <f t="shared" ref="C8:C18" si="4">_xlfn.POISSON.DIST(B8,$B$3,FALSE)</f>
        <v>0.31920770816670363</v>
      </c>
      <c r="D8" s="8">
        <f t="shared" ref="D8:D18" si="5">_xlfn.POISSON.DIST(B8,$C$3,FALSE)</f>
        <v>6.9329116734860141E-2</v>
      </c>
      <c r="E8" s="4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15">
      <c r="A9" s="39"/>
      <c r="B9" s="18">
        <v>1</v>
      </c>
      <c r="C9" s="8">
        <f t="shared" si="4"/>
        <v>0.36450751634352435</v>
      </c>
      <c r="D9" s="8">
        <f t="shared" si="5"/>
        <v>0.1850318075856999</v>
      </c>
      <c r="E9" s="8">
        <f t="shared" ref="E9:E18" si="6">C9*SUM($D$8:D8)</f>
        <v>2.5270984151314142E-2</v>
      </c>
      <c r="F9" s="9">
        <f t="shared" ref="F9:F18" si="7">D9*SUM($C$8:C8)</f>
        <v>5.9063579237373751E-2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15">
      <c r="A10" s="39"/>
      <c r="B10" s="18">
        <v>2</v>
      </c>
      <c r="C10" s="8">
        <f t="shared" si="4"/>
        <v>0.20811798410822938</v>
      </c>
      <c r="D10" s="8">
        <f t="shared" si="5"/>
        <v>0.24691479879489436</v>
      </c>
      <c r="E10" s="8">
        <f t="shared" si="6"/>
        <v>5.2937082805500843E-2</v>
      </c>
      <c r="F10" s="9">
        <f t="shared" si="7"/>
        <v>0.16881940709294899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15">
      <c r="A11" s="39"/>
      <c r="B11" s="18">
        <v>3</v>
      </c>
      <c r="C11" s="8">
        <f t="shared" si="4"/>
        <v>7.9217562267318589E-2</v>
      </c>
      <c r="D11" s="8">
        <f t="shared" si="5"/>
        <v>0.2196628376472895</v>
      </c>
      <c r="E11" s="8">
        <f t="shared" si="6"/>
        <v>3.9709840808993653E-2</v>
      </c>
      <c r="F11" s="9">
        <f t="shared" si="7"/>
        <v>0.19590261331321748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15">
      <c r="A12" s="39"/>
      <c r="B12" s="18">
        <v>4</v>
      </c>
      <c r="C12" s="8">
        <f t="shared" si="4"/>
        <v>2.2614896299566232E-2</v>
      </c>
      <c r="D12" s="8">
        <f t="shared" si="5"/>
        <v>0.14656400450305004</v>
      </c>
      <c r="E12" s="8">
        <f t="shared" si="6"/>
        <v>1.630395079000798E-2</v>
      </c>
      <c r="F12" s="9">
        <f t="shared" si="7"/>
        <v>0.1423210895567931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15">
      <c r="A13" s="39"/>
      <c r="B13" s="18">
        <v>5</v>
      </c>
      <c r="C13" s="8">
        <f t="shared" si="4"/>
        <v>5.1648500155993971E-3</v>
      </c>
      <c r="D13" s="8">
        <f t="shared" si="5"/>
        <v>7.8232650168935436E-2</v>
      </c>
      <c r="E13" s="8">
        <f t="shared" si="6"/>
        <v>4.4805206377455525E-3</v>
      </c>
      <c r="F13" s="9">
        <f t="shared" si="7"/>
        <v>7.7737098525792706E-2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15">
      <c r="A14" s="39"/>
      <c r="B14" s="18">
        <v>6</v>
      </c>
      <c r="C14" s="8">
        <f t="shared" si="4"/>
        <v>9.8296845768824784E-4</v>
      </c>
      <c r="D14" s="8">
        <f t="shared" si="5"/>
        <v>3.4799060276356757E-2</v>
      </c>
      <c r="E14" s="8">
        <f t="shared" si="6"/>
        <v>9.2962788609733877E-4</v>
      </c>
      <c r="F14" s="9">
        <f t="shared" si="7"/>
        <v>3.4758363373940164E-2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15">
      <c r="A15" s="39"/>
      <c r="B15" s="18">
        <v>7</v>
      </c>
      <c r="C15" s="8">
        <f t="shared" si="4"/>
        <v>1.6035210303024419E-4</v>
      </c>
      <c r="D15" s="8">
        <f t="shared" si="5"/>
        <v>1.3267839233391339E-2</v>
      </c>
      <c r="E15" s="8">
        <f t="shared" si="6"/>
        <v>1.5723073320350993E-4</v>
      </c>
      <c r="F15" s="9">
        <f t="shared" si="7"/>
        <v>1.3265364591095318E-2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15">
      <c r="A16" s="39"/>
      <c r="B16" s="18">
        <v>8</v>
      </c>
      <c r="C16" s="8">
        <f t="shared" si="4"/>
        <v>2.288852419624627E-5</v>
      </c>
      <c r="D16" s="8">
        <f t="shared" si="5"/>
        <v>4.4263009391486523E-3</v>
      </c>
      <c r="E16" s="8">
        <f t="shared" si="6"/>
        <v>2.2746663754187388E-5</v>
      </c>
      <c r="F16" s="9">
        <f t="shared" si="7"/>
        <v>4.426185137208518E-3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15">
      <c r="A17" s="39"/>
      <c r="B17" s="18">
        <v>9</v>
      </c>
      <c r="C17" s="8">
        <f t="shared" si="4"/>
        <v>2.9040788225526419E-6</v>
      </c>
      <c r="D17" s="8">
        <f t="shared" si="5"/>
        <v>1.3125901853860598E-3</v>
      </c>
      <c r="E17" s="8">
        <f t="shared" si="6"/>
        <v>2.8989340026379096E-6</v>
      </c>
      <c r="F17" s="9">
        <f t="shared" si="7"/>
        <v>1.3125858883410052E-3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15">
      <c r="A18" s="40"/>
      <c r="B18" s="19">
        <v>10</v>
      </c>
      <c r="C18" s="20">
        <f t="shared" si="4"/>
        <v>3.3162061309674435E-7</v>
      </c>
      <c r="D18" s="20">
        <f t="shared" si="5"/>
        <v>3.5031592216883204E-4</v>
      </c>
      <c r="E18" s="20">
        <f t="shared" si="6"/>
        <v>3.3146840124794249E-7</v>
      </c>
      <c r="F18" s="21">
        <f t="shared" si="7"/>
        <v>3.5031579267969366E-4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15">
      <c r="A21" s="44" t="s">
        <v>13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15">
      <c r="A22" s="45"/>
      <c r="B22" s="4"/>
      <c r="C22" s="4"/>
      <c r="D22" s="18">
        <v>0</v>
      </c>
      <c r="E22" s="18">
        <v>1</v>
      </c>
      <c r="F22" s="18">
        <v>2</v>
      </c>
      <c r="G22" s="18">
        <v>3</v>
      </c>
      <c r="H22" s="18">
        <v>4</v>
      </c>
      <c r="I22" s="18">
        <v>5</v>
      </c>
      <c r="J22" s="18">
        <v>6</v>
      </c>
      <c r="K22" s="18">
        <v>7</v>
      </c>
      <c r="L22" s="18">
        <v>8</v>
      </c>
      <c r="M22" s="18">
        <v>9</v>
      </c>
      <c r="N22" s="18">
        <v>10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15">
      <c r="A23" s="45"/>
      <c r="B23" s="4"/>
      <c r="C23" s="18">
        <v>0</v>
      </c>
      <c r="D23" s="22">
        <f>_xlfn.SINGLE(_xlfn.XLOOKUP(D$22,$B$8:$B$18,$C$8:$C$18))*_xlfn.SINGLE(_xlfn.XLOOKUP($C23,$B$8:$B$18,$D$8:$D$18))</f>
        <v>2.2130388462156564E-2</v>
      </c>
      <c r="E23" s="23">
        <f>_xlfn.XLOOKUP(E$22,$B$8:$B$18,$C$8:$C$18)*_xlfn.XLOOKUP($C23,$B$8:$B$18,$D$8:$D$18)</f>
        <v>2.5270984151314142E-2</v>
      </c>
      <c r="F23" s="23">
        <f>_xlfn.XLOOKUP(F$22,$B$8:$B$18,$C$8:$C$18)*_xlfn.XLOOKUP($C23,$B$8:$B$18,$D$8:$D$18)</f>
        <v>1.4428636014863203E-2</v>
      </c>
      <c r="G23" s="23">
        <f>_xlfn.XLOOKUP(G$22,$B$8:$B$18,$C$8:$C$18)*_xlfn.XLOOKUP($C23,$B$8:$B$18,$D$8:$D$18)</f>
        <v>5.4920836218819826E-3</v>
      </c>
      <c r="H23" s="23">
        <f>_xlfn.XLOOKUP(H$22,$B$8:$B$18,$C$8:$C$18)*_xlfn.XLOOKUP($C23,$B$8:$B$18,$D$8:$D$18)</f>
        <v>1.5678707854993839E-3</v>
      </c>
      <c r="I23" s="23">
        <f>_xlfn.XLOOKUP(I$22,$B$8:$B$18,$C$8:$C$18)*_xlfn.XLOOKUP($C23,$B$8:$B$18,$D$8:$D$18)</f>
        <v>3.5807448964953484E-4</v>
      </c>
      <c r="J23" s="23">
        <f>_xlfn.SINGLE(_xlfn.XLOOKUP(J$22,$B$8:$B$18,$C$8:$C$18))*_xlfn.SINGLE(_xlfn.XLOOKUP($C23,$B$8:$B$18,$D$8:$D$18))</f>
        <v>6.8148334949753967E-5</v>
      </c>
      <c r="K23" s="23">
        <f>_xlfn.SINGLE(_xlfn.XLOOKUP(K$22,$B$8:$B$18,$C$8:$C$18))*_xlfn.SINGLE(_xlfn.XLOOKUP($C23,$B$8:$B$18,$D$8:$D$18))</f>
        <v>1.111706966966412E-5</v>
      </c>
      <c r="L23" s="23">
        <f>_xlfn.SINGLE(_xlfn.XLOOKUP(L$22,$B$8:$B$18,$C$8:$C$18))*_xlfn.SINGLE(_xlfn.XLOOKUP($C23,$B$8:$B$18,$D$8:$D$18))</f>
        <v>1.5868411658902286E-6</v>
      </c>
      <c r="M23" s="23">
        <f>_xlfn.SINGLE(_xlfn.XLOOKUP(M$22,$B$8:$B$18,$C$8:$C$18))*_xlfn.SINGLE(_xlfn.XLOOKUP($C23,$B$8:$B$18,$D$8:$D$18))</f>
        <v>2.013372196959873E-7</v>
      </c>
      <c r="N23" s="24">
        <f>_xlfn.SINGLE(_xlfn.XLOOKUP(N$22,$B$8:$B$18,$C$8:$C$18))*_xlfn.SINGLE(_xlfn.XLOOKUP($C23,$B$8:$B$18,$D$8:$D$18))</f>
        <v>2.2990964197070079E-8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15">
      <c r="A24" s="45"/>
      <c r="B24" s="4"/>
      <c r="C24" s="18">
        <v>1</v>
      </c>
      <c r="D24" s="25">
        <f>_xlfn.SINGLE(_xlfn.XLOOKUP(D$22,$B$8:$B$18,$C$8:$C$18))*_xlfn.SINGLE(_xlfn.XLOOKUP($C24,$B$8:$B$18,$D$8:$D$18))</f>
        <v>5.9063579237373751E-2</v>
      </c>
      <c r="E24" s="26">
        <f>_xlfn.SINGLE(_xlfn.XLOOKUP(E$22,$B$8:$B$18,$C$8:$C$18))*_xlfn.SINGLE(_xlfn.XLOOKUP($C24,$B$8:$B$18,$D$8:$D$18))</f>
        <v>6.7445484627616362E-2</v>
      </c>
      <c r="F24" s="26">
        <f>_xlfn.SINGLE(_xlfn.XLOOKUP(F$22,$B$8:$B$18,$C$8:$C$18))*_xlfn.SINGLE(_xlfn.XLOOKUP($C24,$B$8:$B$18,$D$8:$D$18))</f>
        <v>3.8508446790637647E-2</v>
      </c>
      <c r="G24" s="26">
        <f>_xlfn.SINGLE(_xlfn.XLOOKUP(G$22,$B$8:$B$18,$C$8:$C$18))*_xlfn.SINGLE(_xlfn.XLOOKUP($C24,$B$8:$B$18,$D$8:$D$18))</f>
        <v>1.4657768738854694E-2</v>
      </c>
      <c r="H24" s="26">
        <f>_xlfn.SINGLE(_xlfn.XLOOKUP(H$22,$B$8:$B$18,$C$8:$C$18))*_xlfn.SINGLE(_xlfn.XLOOKUP($C24,$B$8:$B$18,$D$8:$D$18))</f>
        <v>4.184475140671896E-3</v>
      </c>
      <c r="I24" s="26">
        <f>_xlfn.SINGLE(_xlfn.XLOOKUP(I$22,$B$8:$B$18,$C$8:$C$18))*_xlfn.SINGLE(_xlfn.XLOOKUP($C24,$B$8:$B$18,$D$8:$D$18))</f>
        <v>9.5566153429538681E-4</v>
      </c>
      <c r="J24" s="26">
        <f>_xlfn.SINGLE(_xlfn.XLOOKUP(J$22,$B$8:$B$18,$C$8:$C$18))*_xlfn.SINGLE(_xlfn.XLOOKUP($C24,$B$8:$B$18,$D$8:$D$18))</f>
        <v>1.8188043052578406E-4</v>
      </c>
      <c r="K24" s="26">
        <f>_xlfn.SINGLE(_xlfn.XLOOKUP(K$22,$B$8:$B$18,$C$8:$C$18))*_xlfn.SINGLE(_xlfn.XLOOKUP($C24,$B$8:$B$18,$D$8:$D$18))</f>
        <v>2.9670239473854469E-5</v>
      </c>
      <c r="L24" s="26">
        <f>_xlfn.SINGLE(_xlfn.XLOOKUP(L$22,$B$8:$B$18,$C$8:$C$18))*_xlfn.SINGLE(_xlfn.XLOOKUP($C24,$B$8:$B$18,$D$8:$D$18))</f>
        <v>4.2351050050004766E-6</v>
      </c>
      <c r="M24" s="26">
        <f>_xlfn.SINGLE(_xlfn.XLOOKUP(M$22,$B$8:$B$18,$C$8:$C$18))*_xlfn.SINGLE(_xlfn.XLOOKUP($C24,$B$8:$B$18,$D$8:$D$18))</f>
        <v>5.3734695390826632E-7</v>
      </c>
      <c r="N24" s="27">
        <f>_xlfn.SINGLE(_xlfn.XLOOKUP(N$22,$B$8:$B$18,$C$8:$C$18))*_xlfn.SINGLE(_xlfn.XLOOKUP($C24,$B$8:$B$18,$D$8:$D$18))</f>
        <v>6.1360361473968629E-8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15">
      <c r="A25" s="45"/>
      <c r="B25" s="4"/>
      <c r="C25" s="18">
        <v>2</v>
      </c>
      <c r="D25" s="25">
        <f>_xlfn.SINGLE(_xlfn.XLOOKUP(D$22,$B$8:$B$18,$C$8:$C$18))*_xlfn.SINGLE(_xlfn.XLOOKUP($C25,$B$8:$B$18,$D$8:$D$18))</f>
        <v>7.8817107035760989E-2</v>
      </c>
      <c r="E25" s="26">
        <f>_xlfn.SINGLE(_xlfn.XLOOKUP(E$22,$B$8:$B$18,$C$8:$C$18))*_xlfn.SINGLE(_xlfn.XLOOKUP($C25,$B$8:$B$18,$D$8:$D$18))</f>
        <v>9.0002300057187984E-2</v>
      </c>
      <c r="F25" s="26">
        <f>_xlfn.SINGLE(_xlfn.XLOOKUP(F$22,$B$8:$B$18,$C$8:$C$18))*_xlfn.SINGLE(_xlfn.XLOOKUP($C25,$B$8:$B$18,$D$8:$D$18))</f>
        <v>5.1387410171682482E-2</v>
      </c>
      <c r="G25" s="26">
        <f>_xlfn.SINGLE(_xlfn.XLOOKUP(G$22,$B$8:$B$18,$C$8:$C$18))*_xlfn.SINGLE(_xlfn.XLOOKUP($C25,$B$8:$B$18,$D$8:$D$18))</f>
        <v>1.9559988448256984E-2</v>
      </c>
      <c r="H25" s="26">
        <f>_xlfn.SINGLE(_xlfn.XLOOKUP(H$22,$B$8:$B$18,$C$8:$C$18))*_xlfn.SINGLE(_xlfn.XLOOKUP($C25,$B$8:$B$18,$D$8:$D$18))</f>
        <v>5.5839525695747976E-3</v>
      </c>
      <c r="I25" s="26">
        <f>_xlfn.SINGLE(_xlfn.XLOOKUP(I$22,$B$8:$B$18,$C$8:$C$18))*_xlfn.SINGLE(_xlfn.XLOOKUP($C25,$B$8:$B$18,$D$8:$D$18))</f>
        <v>1.2752779024075322E-3</v>
      </c>
      <c r="J25" s="26">
        <f>_xlfn.SINGLE(_xlfn.XLOOKUP(J$22,$B$8:$B$18,$C$8:$C$18))*_xlfn.SINGLE(_xlfn.XLOOKUP($C25,$B$8:$B$18,$D$8:$D$18))</f>
        <v>2.4270945895182134E-4</v>
      </c>
      <c r="K25" s="26">
        <f>_xlfn.SINGLE(_xlfn.XLOOKUP(K$22,$B$8:$B$18,$C$8:$C$18))*_xlfn.SINGLE(_xlfn.XLOOKUP($C25,$B$8:$B$18,$D$8:$D$18))</f>
        <v>3.9593307256050916E-5</v>
      </c>
      <c r="L25" s="26">
        <f>_xlfn.SINGLE(_xlfn.XLOOKUP(L$22,$B$8:$B$18,$C$8:$C$18))*_xlfn.SINGLE(_xlfn.XLOOKUP($C25,$B$8:$B$18,$D$8:$D$18))</f>
        <v>5.6515153466282193E-6</v>
      </c>
      <c r="M25" s="26">
        <f>_xlfn.SINGLE(_xlfn.XLOOKUP(M$22,$B$8:$B$18,$C$8:$C$18))*_xlfn.SINGLE(_xlfn.XLOOKUP($C25,$B$8:$B$18,$D$8:$D$18))</f>
        <v>7.1706003815509933E-7</v>
      </c>
      <c r="N25" s="27">
        <f>_xlfn.SINGLE(_xlfn.XLOOKUP(N$22,$B$8:$B$18,$C$8:$C$18))*_xlfn.SINGLE(_xlfn.XLOOKUP($C25,$B$8:$B$18,$D$8:$D$18))</f>
        <v>8.1882036959022141E-8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15">
      <c r="A26" s="45"/>
      <c r="B26" s="4"/>
      <c r="C26" s="18">
        <v>3</v>
      </c>
      <c r="D26" s="25">
        <f>_xlfn.SINGLE(_xlfn.XLOOKUP(D$22,$B$8:$B$18,$C$8:$C$18))*_xlfn.SINGLE(_xlfn.XLOOKUP($C26,$B$8:$B$18,$D$8:$D$18))</f>
        <v>7.0118070974785993E-2</v>
      </c>
      <c r="E26" s="26">
        <f>_xlfn.SINGLE(_xlfn.XLOOKUP(E$22,$B$8:$B$18,$C$8:$C$18))*_xlfn.SINGLE(_xlfn.XLOOKUP($C26,$B$8:$B$18,$D$8:$D$18))</f>
        <v>8.0068755383784315E-2</v>
      </c>
      <c r="F26" s="26">
        <f>_xlfn.SINGLE(_xlfn.XLOOKUP(F$22,$B$8:$B$18,$C$8:$C$18))*_xlfn.SINGLE(_xlfn.XLOOKUP($C26,$B$8:$B$18,$D$8:$D$18))</f>
        <v>4.5715786954647168E-2</v>
      </c>
      <c r="G26" s="26">
        <f>_xlfn.SINGLE(_xlfn.XLOOKUP(G$22,$B$8:$B$18,$C$8:$C$18))*_xlfn.SINGLE(_xlfn.XLOOKUP($C26,$B$8:$B$18,$D$8:$D$18))</f>
        <v>1.7401154519140049E-2</v>
      </c>
      <c r="H26" s="26">
        <f>_xlfn.SINGLE(_xlfn.XLOOKUP(H$22,$B$8:$B$18,$C$8:$C$18))*_xlfn.SINGLE(_xlfn.XLOOKUP($C26,$B$8:$B$18,$D$8:$D$18))</f>
        <v>4.9676522942619051E-3</v>
      </c>
      <c r="I26" s="26">
        <f>_xlfn.SINGLE(_xlfn.XLOOKUP(I$22,$B$8:$B$18,$C$8:$C$18))*_xlfn.SINGLE(_xlfn.XLOOKUP($C26,$B$8:$B$18,$D$8:$D$18))</f>
        <v>1.1345256104492111E-3</v>
      </c>
      <c r="J26" s="26">
        <f>_xlfn.SINGLE(_xlfn.XLOOKUP(J$22,$B$8:$B$18,$C$8:$C$18))*_xlfn.SINGLE(_xlfn.XLOOKUP($C26,$B$8:$B$18,$D$8:$D$18))</f>
        <v>2.1592164073358015E-4</v>
      </c>
      <c r="K26" s="26">
        <f>_xlfn.SINGLE(_xlfn.XLOOKUP(K$22,$B$8:$B$18,$C$8:$C$18))*_xlfn.SINGLE(_xlfn.XLOOKUP($C26,$B$8:$B$18,$D$8:$D$18))</f>
        <v>3.5223397974333967E-5</v>
      </c>
      <c r="L26" s="26">
        <f>_xlfn.SINGLE(_xlfn.XLOOKUP(L$22,$B$8:$B$18,$C$8:$C$18))*_xlfn.SINGLE(_xlfn.XLOOKUP($C26,$B$8:$B$18,$D$8:$D$18))</f>
        <v>5.0277581745061018E-6</v>
      </c>
      <c r="M26" s="26">
        <f>_xlfn.SINGLE(_xlfn.XLOOKUP(M$22,$B$8:$B$18,$C$8:$C$18))*_xlfn.SINGLE(_xlfn.XLOOKUP($C26,$B$8:$B$18,$D$8:$D$18))</f>
        <v>6.3791819491331264E-7</v>
      </c>
      <c r="N26" s="27">
        <f>_xlfn.SINGLE(_xlfn.XLOOKUP(N$22,$B$8:$B$18,$C$8:$C$18))*_xlfn.SINGLE(_xlfn.XLOOKUP($C26,$B$8:$B$18,$D$8:$D$18))</f>
        <v>7.2844724895164754E-8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15">
      <c r="A27" s="45"/>
      <c r="B27" s="4"/>
      <c r="C27" s="18">
        <v>4</v>
      </c>
      <c r="D27" s="25">
        <f>_xlfn.SINGLE(_xlfn.XLOOKUP(D$22,$B$8:$B$18,$C$8:$C$18))*_xlfn.SINGLE(_xlfn.XLOOKUP($C27,$B$8:$B$18,$D$8:$D$18))</f>
        <v>4.6784359977153037E-2</v>
      </c>
      <c r="E27" s="26">
        <f>_xlfn.SINGLE(_xlfn.XLOOKUP(E$22,$B$8:$B$18,$C$8:$C$18))*_xlfn.SINGLE(_xlfn.XLOOKUP($C27,$B$8:$B$18,$D$8:$D$18))</f>
        <v>5.3423681266767893E-2</v>
      </c>
      <c r="F27" s="26">
        <f>_xlfn.SINGLE(_xlfn.XLOOKUP(F$22,$B$8:$B$18,$C$8:$C$18))*_xlfn.SINGLE(_xlfn.XLOOKUP($C27,$B$8:$B$18,$D$8:$D$18))</f>
        <v>3.0502605160004227E-2</v>
      </c>
      <c r="G27" s="26">
        <f>_xlfn.SINGLE(_xlfn.XLOOKUP(G$22,$B$8:$B$18,$C$8:$C$18))*_xlfn.SINGLE(_xlfn.XLOOKUP($C27,$B$8:$B$18,$D$8:$D$18))</f>
        <v>1.1610443152867928E-2</v>
      </c>
      <c r="H27" s="26">
        <f>_xlfn.SINGLE(_xlfn.XLOOKUP(H$22,$B$8:$B$18,$C$8:$C$18))*_xlfn.SINGLE(_xlfn.XLOOKUP($C27,$B$8:$B$18,$D$8:$D$18))</f>
        <v>3.3145297630856351E-3</v>
      </c>
      <c r="I27" s="26">
        <f>_xlfn.SINGLE(_xlfn.XLOOKUP(I$22,$B$8:$B$18,$C$8:$C$18))*_xlfn.SINGLE(_xlfn.XLOOKUP($C27,$B$8:$B$18,$D$8:$D$18))</f>
        <v>7.5698110094388812E-4</v>
      </c>
      <c r="J27" s="26">
        <f>_xlfn.SINGLE(_xlfn.XLOOKUP(J$22,$B$8:$B$18,$C$8:$C$18))*_xlfn.SINGLE(_xlfn.XLOOKUP($C27,$B$8:$B$18,$D$8:$D$18))</f>
        <v>1.440677934589765E-4</v>
      </c>
      <c r="K27" s="26">
        <f>_xlfn.SINGLE(_xlfn.XLOOKUP(K$22,$B$8:$B$18,$C$8:$C$18))*_xlfn.SINGLE(_xlfn.XLOOKUP($C27,$B$8:$B$18,$D$8:$D$18))</f>
        <v>2.3501846350598255E-5</v>
      </c>
      <c r="L27" s="26">
        <f>_xlfn.SINGLE(_xlfn.XLOOKUP(L$22,$B$8:$B$18,$C$8:$C$18))*_xlfn.SINGLE(_xlfn.XLOOKUP($C27,$B$8:$B$18,$D$8:$D$18))</f>
        <v>3.3546337633668083E-6</v>
      </c>
      <c r="M27" s="26">
        <f>_xlfn.SINGLE(_xlfn.XLOOKUP(M$22,$B$8:$B$18,$C$8:$C$18))*_xlfn.SINGLE(_xlfn.XLOOKUP($C27,$B$8:$B$18,$D$8:$D$18))</f>
        <v>4.256334216258177E-7</v>
      </c>
      <c r="N27" s="27">
        <f>_xlfn.SINGLE(_xlfn.XLOOKUP(N$22,$B$8:$B$18,$C$8:$C$18))*_xlfn.SINGLE(_xlfn.XLOOKUP($C27,$B$8:$B$18,$D$8:$D$18))</f>
        <v>4.8603645031215453E-8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15">
      <c r="A28" s="45"/>
      <c r="B28" s="4"/>
      <c r="C28" s="18">
        <v>5</v>
      </c>
      <c r="D28" s="25">
        <f>_xlfn.SINGLE(_xlfn.XLOOKUP(D$22,$B$8:$B$18,$C$8:$C$18))*_xlfn.SINGLE(_xlfn.XLOOKUP($C28,$B$8:$B$18,$D$8:$D$18))</f>
        <v>2.497246496423336E-2</v>
      </c>
      <c r="E28" s="26">
        <f>_xlfn.SINGLE(_xlfn.XLOOKUP(E$22,$B$8:$B$18,$C$8:$C$18))*_xlfn.SINGLE(_xlfn.XLOOKUP($C28,$B$8:$B$18,$D$8:$D$18))</f>
        <v>2.8516389010050457E-2</v>
      </c>
      <c r="F28" s="26">
        <f>_xlfn.SINGLE(_xlfn.XLOOKUP(F$22,$B$8:$B$18,$C$8:$C$18))*_xlfn.SINGLE(_xlfn.XLOOKUP($C28,$B$8:$B$18,$D$8:$D$18))</f>
        <v>1.6281621444603173E-2</v>
      </c>
      <c r="G28" s="26">
        <f>_xlfn.SINGLE(_xlfn.XLOOKUP(G$22,$B$8:$B$18,$C$8:$C$18))*_xlfn.SINGLE(_xlfn.XLOOKUP($C28,$B$8:$B$18,$D$8:$D$18))</f>
        <v>6.1973998360949955E-3</v>
      </c>
      <c r="H28" s="26">
        <f>_xlfn.SINGLE(_xlfn.XLOOKUP(H$22,$B$8:$B$18,$C$8:$C$18))*_xlfn.SINGLE(_xlfn.XLOOKUP($C28,$B$8:$B$18,$D$8:$D$18))</f>
        <v>1.7692232708107175E-3</v>
      </c>
      <c r="I28" s="26">
        <f>_xlfn.SINGLE(_xlfn.XLOOKUP(I$22,$B$8:$B$18,$C$8:$C$18))*_xlfn.SINGLE(_xlfn.XLOOKUP($C28,$B$8:$B$18,$D$8:$D$18))</f>
        <v>4.0405990444540834E-4</v>
      </c>
      <c r="J28" s="26">
        <f>_xlfn.SINGLE(_xlfn.XLOOKUP(J$22,$B$8:$B$18,$C$8:$C$18))*_xlfn.SINGLE(_xlfn.XLOOKUP($C28,$B$8:$B$18,$D$8:$D$18))</f>
        <v>7.6900227477422707E-5</v>
      </c>
      <c r="K28" s="26">
        <f>_xlfn.SINGLE(_xlfn.XLOOKUP(K$22,$B$8:$B$18,$C$8:$C$18))*_xlfn.SINGLE(_xlfn.XLOOKUP($C28,$B$8:$B$18,$D$8:$D$18))</f>
        <v>1.2544769980218186E-5</v>
      </c>
      <c r="L28" s="26">
        <f>_xlfn.SINGLE(_xlfn.XLOOKUP(L$22,$B$8:$B$18,$C$8:$C$18))*_xlfn.SINGLE(_xlfn.XLOOKUP($C28,$B$8:$B$18,$D$8:$D$18))</f>
        <v>1.7906299063281485E-6</v>
      </c>
      <c r="M28" s="26">
        <f>_xlfn.SINGLE(_xlfn.XLOOKUP(M$22,$B$8:$B$18,$C$8:$C$18))*_xlfn.SINGLE(_xlfn.XLOOKUP($C28,$B$8:$B$18,$D$8:$D$18))</f>
        <v>2.2719378258777476E-7</v>
      </c>
      <c r="N28" s="27">
        <f>_xlfn.SINGLE(_xlfn.XLOOKUP(N$22,$B$8:$B$18,$C$8:$C$18))*_xlfn.SINGLE(_xlfn.XLOOKUP($C28,$B$8:$B$18,$D$8:$D$18))</f>
        <v>2.5943559413205491E-8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15">
      <c r="A29" s="45"/>
      <c r="B29" s="4"/>
      <c r="C29" s="18">
        <v>6</v>
      </c>
      <c r="D29" s="25">
        <f>_xlfn.SINGLE(_xlfn.XLOOKUP(D$22,$B$8:$B$18,$C$8:$C$18))*_xlfn.SINGLE(_xlfn.XLOOKUP($C29,$B$8:$B$18,$D$8:$D$18))</f>
        <v>1.1108128277170816E-2</v>
      </c>
      <c r="E29" s="26">
        <f>_xlfn.SINGLE(_xlfn.XLOOKUP(E$22,$B$8:$B$18,$C$8:$C$18))*_xlfn.SINGLE(_xlfn.XLOOKUP($C29,$B$8:$B$18,$D$8:$D$18))</f>
        <v>1.2684519032423399E-2</v>
      </c>
      <c r="F29" s="26">
        <f>_xlfn.SINGLE(_xlfn.XLOOKUP(F$22,$B$8:$B$18,$C$8:$C$18))*_xlfn.SINGLE(_xlfn.XLOOKUP($C29,$B$8:$B$18,$D$8:$D$18))</f>
        <v>7.2423102735761314E-3</v>
      </c>
      <c r="G29" s="26">
        <f>_xlfn.SINGLE(_xlfn.XLOOKUP(G$22,$B$8:$B$18,$C$8:$C$18))*_xlfn.SINGLE(_xlfn.XLOOKUP($C29,$B$8:$B$18,$D$8:$D$18))</f>
        <v>2.756696724286464E-3</v>
      </c>
      <c r="H29" s="26">
        <f>_xlfn.SINGLE(_xlfn.XLOOKUP(H$22,$B$8:$B$18,$C$8:$C$18))*_xlfn.SINGLE(_xlfn.XLOOKUP($C29,$B$8:$B$18,$D$8:$D$18))</f>
        <v>7.8697713947216267E-4</v>
      </c>
      <c r="I29" s="26">
        <f>_xlfn.SINGLE(_xlfn.XLOOKUP(I$22,$B$8:$B$18,$C$8:$C$18))*_xlfn.SINGLE(_xlfn.XLOOKUP($C29,$B$8:$B$18,$D$8:$D$18))</f>
        <v>1.7973192701118556E-4</v>
      </c>
      <c r="J29" s="26">
        <f>_xlfn.SINGLE(_xlfn.XLOOKUP(J$22,$B$8:$B$18,$C$8:$C$18))*_xlfn.SINGLE(_xlfn.XLOOKUP($C29,$B$8:$B$18,$D$8:$D$18))</f>
        <v>3.420637860885077E-5</v>
      </c>
      <c r="K29" s="26">
        <f>_xlfn.SINGLE(_xlfn.XLOOKUP(K$22,$B$8:$B$18,$C$8:$C$18))*_xlfn.SINGLE(_xlfn.XLOOKUP($C29,$B$8:$B$18,$D$8:$D$18))</f>
        <v>5.5801024987900366E-6</v>
      </c>
      <c r="L29" s="26">
        <f>_xlfn.SINGLE(_xlfn.XLOOKUP(L$22,$B$8:$B$18,$C$8:$C$18))*_xlfn.SINGLE(_xlfn.XLOOKUP($C29,$B$8:$B$18,$D$8:$D$18))</f>
        <v>7.9649913314202408E-7</v>
      </c>
      <c r="M29" s="26">
        <f>_xlfn.SINGLE(_xlfn.XLOOKUP(M$22,$B$8:$B$18,$C$8:$C$18))*_xlfn.SINGLE(_xlfn.XLOOKUP($C29,$B$8:$B$18,$D$8:$D$18))</f>
        <v>1.0105921399330054E-7</v>
      </c>
      <c r="N29" s="27">
        <f>_xlfn.SINGLE(_xlfn.XLOOKUP(N$22,$B$8:$B$18,$C$8:$C$18))*_xlfn.SINGLE(_xlfn.XLOOKUP($C29,$B$8:$B$18,$D$8:$D$18))</f>
        <v>1.154008570403599E-8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15">
      <c r="A30" s="45"/>
      <c r="B30" s="4"/>
      <c r="C30" s="18">
        <v>7</v>
      </c>
      <c r="D30" s="25">
        <f>_xlfn.SINGLE(_xlfn.XLOOKUP(D$22,$B$8:$B$18,$C$8:$C$18))*_xlfn.SINGLE(_xlfn.XLOOKUP($C30,$B$8:$B$18,$D$8:$D$18))</f>
        <v>4.2351965540151238E-3</v>
      </c>
      <c r="E30" s="26">
        <f>_xlfn.SINGLE(_xlfn.XLOOKUP(E$22,$B$8:$B$18,$C$8:$C$18))*_xlfn.SINGLE(_xlfn.XLOOKUP($C30,$B$8:$B$18,$D$8:$D$18))</f>
        <v>4.8362271262086471E-3</v>
      </c>
      <c r="F30" s="26">
        <f>_xlfn.SINGLE(_xlfn.XLOOKUP(F$22,$B$8:$B$18,$C$8:$C$18))*_xlfn.SINGLE(_xlfn.XLOOKUP($C30,$B$8:$B$18,$D$8:$D$18))</f>
        <v>2.7612759547254811E-3</v>
      </c>
      <c r="G30" s="26">
        <f>_xlfn.SINGLE(_xlfn.XLOOKUP(G$22,$B$8:$B$18,$C$8:$C$18))*_xlfn.SINGLE(_xlfn.XLOOKUP($C30,$B$8:$B$18,$D$8:$D$18))</f>
        <v>1.0510458806239509E-3</v>
      </c>
      <c r="H30" s="26">
        <f>_xlfn.SINGLE(_xlfn.XLOOKUP(H$22,$B$8:$B$18,$C$8:$C$18))*_xlfn.SINGLE(_xlfn.XLOOKUP($C30,$B$8:$B$18,$D$8:$D$18))</f>
        <v>3.0005080838246145E-4</v>
      </c>
      <c r="I30" s="26">
        <f>_xlfn.SINGLE(_xlfn.XLOOKUP(I$22,$B$8:$B$18,$C$8:$C$18))*_xlfn.SINGLE(_xlfn.XLOOKUP($C30,$B$8:$B$18,$D$8:$D$18))</f>
        <v>6.8526399671551552E-5</v>
      </c>
      <c r="J30" s="26">
        <f>_xlfn.SINGLE(_xlfn.XLOOKUP(J$22,$B$8:$B$18,$C$8:$C$18))*_xlfn.SINGLE(_xlfn.XLOOKUP($C30,$B$8:$B$18,$D$8:$D$18))</f>
        <v>1.3041867468102309E-5</v>
      </c>
      <c r="K30" s="26">
        <f>_xlfn.SINGLE(_xlfn.XLOOKUP(K$22,$B$8:$B$18,$C$8:$C$18))*_xlfn.SINGLE(_xlfn.XLOOKUP($C30,$B$8:$B$18,$D$8:$D$18))</f>
        <v>2.1275259237414843E-6</v>
      </c>
      <c r="L30" s="26">
        <f>_xlfn.SINGLE(_xlfn.XLOOKUP(L$22,$B$8:$B$18,$C$8:$C$18))*_xlfn.SINGLE(_xlfn.XLOOKUP($C30,$B$8:$B$18,$D$8:$D$18))</f>
        <v>3.0368125932538325E-7</v>
      </c>
      <c r="M30" s="26">
        <f>_xlfn.SINGLE(_xlfn.XLOOKUP(M$22,$B$8:$B$18,$C$8:$C$18))*_xlfn.SINGLE(_xlfn.XLOOKUP($C30,$B$8:$B$18,$D$8:$D$18))</f>
        <v>3.8530850938724867E-8</v>
      </c>
      <c r="N30" s="27">
        <f>_xlfn.SINGLE(_xlfn.XLOOKUP(N$22,$B$8:$B$18,$C$8:$C$18))*_xlfn.SINGLE(_xlfn.XLOOKUP($C30,$B$8:$B$18,$D$8:$D$18))</f>
        <v>4.3998889810462745E-9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15">
      <c r="A31" s="45"/>
      <c r="B31" s="4"/>
      <c r="C31" s="18">
        <v>8</v>
      </c>
      <c r="D31" s="25">
        <f>_xlfn.SINGLE(_xlfn.XLOOKUP(D$22,$B$8:$B$18,$C$8:$C$18))*_xlfn.SINGLE(_xlfn.XLOOKUP($C31,$B$8:$B$18,$D$8:$D$18))</f>
        <v>1.4129093784417692E-3</v>
      </c>
      <c r="E31" s="26">
        <f>_xlfn.SINGLE(_xlfn.XLOOKUP(E$22,$B$8:$B$18,$C$8:$C$18))*_xlfn.SINGLE(_xlfn.XLOOKUP($C31,$B$8:$B$18,$D$8:$D$18))</f>
        <v>1.6134199619180845E-3</v>
      </c>
      <c r="F31" s="26">
        <f>_xlfn.SINGLE(_xlfn.XLOOKUP(F$22,$B$8:$B$18,$C$8:$C$18))*_xlfn.SINGLE(_xlfn.XLOOKUP($C31,$B$8:$B$18,$D$8:$D$18))</f>
        <v>9.2119282851197998E-4</v>
      </c>
      <c r="G31" s="26">
        <f>_xlfn.SINGLE(_xlfn.XLOOKUP(G$22,$B$8:$B$18,$C$8:$C$18))*_xlfn.SINGLE(_xlfn.XLOOKUP($C31,$B$8:$B$18,$D$8:$D$18))</f>
        <v>3.5064077026089911E-4</v>
      </c>
      <c r="H31" s="26">
        <f>_xlfn.SINGLE(_xlfn.XLOOKUP(H$22,$B$8:$B$18,$C$8:$C$18))*_xlfn.SINGLE(_xlfn.XLOOKUP($C31,$B$8:$B$18,$D$8:$D$18))</f>
        <v>1.001003367295194E-4</v>
      </c>
      <c r="I31" s="26">
        <f>_xlfn.SINGLE(_xlfn.XLOOKUP(I$22,$B$8:$B$18,$C$8:$C$18))*_xlfn.SINGLE(_xlfn.XLOOKUP($C31,$B$8:$B$18,$D$8:$D$18))</f>
        <v>2.2861180474609544E-5</v>
      </c>
      <c r="J31" s="26">
        <f>_xlfn.SINGLE(_xlfn.XLOOKUP(J$22,$B$8:$B$18,$C$8:$C$18))*_xlfn.SINGLE(_xlfn.XLOOKUP($C31,$B$8:$B$18,$D$8:$D$18))</f>
        <v>4.3509142074189938E-6</v>
      </c>
      <c r="K31" s="26">
        <f>_xlfn.SINGLE(_xlfn.XLOOKUP(K$22,$B$8:$B$18,$C$8:$C$18))*_xlfn.SINGLE(_xlfn.XLOOKUP($C31,$B$8:$B$18,$D$8:$D$18))</f>
        <v>7.0976666423723133E-7</v>
      </c>
      <c r="L31" s="26">
        <f>_xlfn.SINGLE(_xlfn.XLOOKUP(L$22,$B$8:$B$18,$C$8:$C$18))*_xlfn.SINGLE(_xlfn.XLOOKUP($C31,$B$8:$B$18,$D$8:$D$18))</f>
        <v>1.0131149614557152E-7</v>
      </c>
      <c r="M31" s="26">
        <f>_xlfn.SINGLE(_xlfn.XLOOKUP(M$22,$B$8:$B$18,$C$8:$C$18))*_xlfn.SINGLE(_xlfn.XLOOKUP($C31,$B$8:$B$18,$D$8:$D$18))</f>
        <v>1.2854326819626472E-8</v>
      </c>
      <c r="N31" s="27">
        <f>_xlfn.SINGLE(_xlfn.XLOOKUP(N$22,$B$8:$B$18,$C$8:$C$18))*_xlfn.SINGLE(_xlfn.XLOOKUP($C31,$B$8:$B$18,$D$8:$D$18))</f>
        <v>1.4678526311911713E-9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15">
      <c r="A32" s="45"/>
      <c r="B32" s="4"/>
      <c r="C32" s="18">
        <v>9</v>
      </c>
      <c r="D32" s="25">
        <f>_xlfn.SINGLE(_xlfn.XLOOKUP(D$22,$B$8:$B$18,$C$8:$C$18))*_xlfn.SINGLE(_xlfn.XLOOKUP($C32,$B$8:$B$18,$D$8:$D$18))</f>
        <v>4.189889048391928E-4</v>
      </c>
      <c r="E32" s="26">
        <f>_xlfn.SINGLE(_xlfn.XLOOKUP(E$22,$B$8:$B$18,$C$8:$C$18))*_xlfn.SINGLE(_xlfn.XLOOKUP($C32,$B$8:$B$18,$D$8:$D$18))</f>
        <v>4.7844898845195887E-4</v>
      </c>
      <c r="F32" s="26">
        <f>_xlfn.SINGLE(_xlfn.XLOOKUP(F$22,$B$8:$B$18,$C$8:$C$18))*_xlfn.SINGLE(_xlfn.XLOOKUP($C32,$B$8:$B$18,$D$8:$D$18))</f>
        <v>2.7317362334279387E-4</v>
      </c>
      <c r="G32" s="26">
        <f>_xlfn.SINGLE(_xlfn.XLOOKUP(G$22,$B$8:$B$18,$C$8:$C$18))*_xlfn.SINGLE(_xlfn.XLOOKUP($C32,$B$8:$B$18,$D$8:$D$18))</f>
        <v>1.0398019474229144E-4</v>
      </c>
      <c r="H32" s="26">
        <f>_xlfn.SINGLE(_xlfn.XLOOKUP(H$22,$B$8:$B$18,$C$8:$C$18))*_xlfn.SINGLE(_xlfn.XLOOKUP($C32,$B$8:$B$18,$D$8:$D$18))</f>
        <v>2.9684090926334159E-5</v>
      </c>
      <c r="I32" s="26">
        <f>_xlfn.SINGLE(_xlfn.XLOOKUP(I$22,$B$8:$B$18,$C$8:$C$18))*_xlfn.SINGLE(_xlfn.XLOOKUP($C32,$B$8:$B$18,$D$8:$D$18))</f>
        <v>6.7793314394668065E-6</v>
      </c>
      <c r="J32" s="26">
        <f>_xlfn.SINGLE(_xlfn.XLOOKUP(J$22,$B$8:$B$18,$C$8:$C$18))*_xlfn.SINGLE(_xlfn.XLOOKUP($C32,$B$8:$B$18,$D$8:$D$18))</f>
        <v>1.2902347501056665E-6</v>
      </c>
      <c r="K32" s="26">
        <f>_xlfn.SINGLE(_xlfn.XLOOKUP(K$22,$B$8:$B$18,$C$8:$C$18))*_xlfn.SINGLE(_xlfn.XLOOKUP($C32,$B$8:$B$18,$D$8:$D$18))</f>
        <v>2.104765966435128E-7</v>
      </c>
      <c r="L32" s="26">
        <f>_xlfn.SINGLE(_xlfn.XLOOKUP(L$22,$B$8:$B$18,$C$8:$C$18))*_xlfn.SINGLE(_xlfn.XLOOKUP($C32,$B$8:$B$18,$D$8:$D$18))</f>
        <v>3.004325221796421E-8</v>
      </c>
      <c r="M32" s="26">
        <f>_xlfn.SINGLE(_xlfn.XLOOKUP(M$22,$B$8:$B$18,$C$8:$C$18))*_xlfn.SINGLE(_xlfn.XLOOKUP($C32,$B$8:$B$18,$D$8:$D$18))</f>
        <v>3.8118653600701023E-9</v>
      </c>
      <c r="N32" s="27">
        <f>_xlfn.SINGLE(_xlfn.XLOOKUP(N$22,$B$8:$B$18,$C$8:$C$18))*_xlfn.SINGLE(_xlfn.XLOOKUP($C32,$B$8:$B$18,$D$8:$D$18))</f>
        <v>4.3528196202249446E-10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15">
      <c r="A33" s="45"/>
      <c r="B33" s="4"/>
      <c r="C33" s="18">
        <v>10</v>
      </c>
      <c r="D33" s="28">
        <f>_xlfn.SINGLE(_xlfn.XLOOKUP(D$22,$B$8:$B$18,$C$8:$C$18))*_xlfn.SINGLE(_xlfn.XLOOKUP($C33,$B$8:$B$18,$D$8:$D$18))</f>
        <v>1.118235426498182E-4</v>
      </c>
      <c r="E33" s="29">
        <f>_xlfn.SINGLE(_xlfn.XLOOKUP(E$22,$B$8:$B$18,$C$8:$C$18))*_xlfn.SINGLE(_xlfn.XLOOKUP($C33,$B$8:$B$18,$D$8:$D$18))</f>
        <v>1.2769278672535234E-4</v>
      </c>
      <c r="F33" s="29">
        <f>_xlfn.SINGLE(_xlfn.XLOOKUP(F$22,$B$8:$B$18,$C$8:$C$18))*_xlfn.SINGLE(_xlfn.XLOOKUP($C33,$B$8:$B$18,$D$8:$D$18))</f>
        <v>7.2907043522792709E-5</v>
      </c>
      <c r="G33" s="29">
        <f>_xlfn.SINGLE(_xlfn.XLOOKUP(G$22,$B$8:$B$18,$C$8:$C$18))*_xlfn.SINGLE(_xlfn.XLOOKUP($C33,$B$8:$B$18,$D$8:$D$18))</f>
        <v>2.7751173377642584E-5</v>
      </c>
      <c r="H33" s="29">
        <f>_xlfn.SINGLE(_xlfn.XLOOKUP(H$22,$B$8:$B$18,$C$8:$C$18))*_xlfn.SINGLE(_xlfn.XLOOKUP($C33,$B$8:$B$18,$D$8:$D$18))</f>
        <v>7.9223582519350515E-6</v>
      </c>
      <c r="I33" s="29">
        <f>_xlfn.SINGLE(_xlfn.XLOOKUP(I$22,$B$8:$B$18,$C$8:$C$18))*_xlfn.SINGLE(_xlfn.XLOOKUP($C33,$B$8:$B$18,$D$8:$D$18))</f>
        <v>1.8093291960784094E-6</v>
      </c>
      <c r="J33" s="29">
        <f>_xlfn.SINGLE(_xlfn.XLOOKUP(J$22,$B$8:$B$18,$C$8:$C$18))*_xlfn.SINGLE(_xlfn.XLOOKUP($C33,$B$8:$B$18,$D$8:$D$18))</f>
        <v>3.4434950171793308E-7</v>
      </c>
      <c r="K33" s="29">
        <f>_xlfn.SINGLE(_xlfn.XLOOKUP(K$22,$B$8:$B$18,$C$8:$C$18))*_xlfn.SINGLE(_xlfn.XLOOKUP($C33,$B$8:$B$18,$D$8:$D$18))</f>
        <v>5.617389484475156E-8</v>
      </c>
      <c r="L33" s="29">
        <f>_xlfn.SINGLE(_xlfn.XLOOKUP(L$22,$B$8:$B$18,$C$8:$C$18))*_xlfn.SINGLE(_xlfn.XLOOKUP($C33,$B$8:$B$18,$D$8:$D$18))</f>
        <v>8.0182144608916368E-9</v>
      </c>
      <c r="M33" s="29">
        <f>_xlfn.SINGLE(_xlfn.XLOOKUP(M$22,$B$8:$B$18,$C$8:$C$18))*_xlfn.SINGLE(_xlfn.XLOOKUP($C33,$B$8:$B$18,$D$8:$D$18))</f>
        <v>1.0173450507735047E-9</v>
      </c>
      <c r="N33" s="30">
        <f>_xlfn.SINGLE(_xlfn.XLOOKUP(N$22,$B$8:$B$18,$C$8:$C$18))*_xlfn.SINGLE(_xlfn.XLOOKUP($C33,$B$8:$B$18,$D$8:$D$18))</f>
        <v>1.1617198088717945E-10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1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1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" x14ac:dyDescent="0.1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" x14ac:dyDescent="0.1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" x14ac:dyDescent="0.1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" x14ac:dyDescent="0.1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" x14ac:dyDescent="0.1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" x14ac:dyDescent="0.1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" x14ac:dyDescent="0.1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" x14ac:dyDescent="0.1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" x14ac:dyDescent="0.1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" x14ac:dyDescent="0.1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" x14ac:dyDescent="0.1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" x14ac:dyDescent="0.1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" x14ac:dyDescent="0.1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" x14ac:dyDescent="0.1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" x14ac:dyDescent="0.1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" x14ac:dyDescent="0.1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" x14ac:dyDescent="0.1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" x14ac:dyDescent="0.1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" x14ac:dyDescent="0.1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" x14ac:dyDescent="0.1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" x14ac:dyDescent="0.1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" x14ac:dyDescent="0.1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" x14ac:dyDescent="0.1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" x14ac:dyDescent="0.1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" x14ac:dyDescent="0.1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" x14ac:dyDescent="0.1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" x14ac:dyDescent="0.1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" x14ac:dyDescent="0.1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" x14ac:dyDescent="0.1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" x14ac:dyDescent="0.1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" x14ac:dyDescent="0.1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" x14ac:dyDescent="0.1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" x14ac:dyDescent="0.1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" x14ac:dyDescent="0.1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" x14ac:dyDescent="0.1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" x14ac:dyDescent="0.1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" x14ac:dyDescent="0.1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" x14ac:dyDescent="0.1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" x14ac:dyDescent="0.1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" x14ac:dyDescent="0.1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" x14ac:dyDescent="0.1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" x14ac:dyDescent="0.1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" x14ac:dyDescent="0.1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" x14ac:dyDescent="0.1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" x14ac:dyDescent="0.1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" x14ac:dyDescent="0.1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" x14ac:dyDescent="0.1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" x14ac:dyDescent="0.1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" x14ac:dyDescent="0.1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" x14ac:dyDescent="0.1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" x14ac:dyDescent="0.1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" x14ac:dyDescent="0.1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" x14ac:dyDescent="0.1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" x14ac:dyDescent="0.1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" x14ac:dyDescent="0.1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" x14ac:dyDescent="0.1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" x14ac:dyDescent="0.1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" x14ac:dyDescent="0.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" x14ac:dyDescent="0.1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" x14ac:dyDescent="0.1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" x14ac:dyDescent="0.1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" x14ac:dyDescent="0.1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" x14ac:dyDescent="0.1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" x14ac:dyDescent="0.1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" x14ac:dyDescent="0.1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" x14ac:dyDescent="0.1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" x14ac:dyDescent="0.1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" x14ac:dyDescent="0.1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" x14ac:dyDescent="0.1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" x14ac:dyDescent="0.1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" x14ac:dyDescent="0.1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" x14ac:dyDescent="0.1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" x14ac:dyDescent="0.1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" x14ac:dyDescent="0.1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" x14ac:dyDescent="0.1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" x14ac:dyDescent="0.1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" x14ac:dyDescent="0.1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" x14ac:dyDescent="0.1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" x14ac:dyDescent="0.1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" x14ac:dyDescent="0.1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" x14ac:dyDescent="0.1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" x14ac:dyDescent="0.1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" x14ac:dyDescent="0.1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" x14ac:dyDescent="0.1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" x14ac:dyDescent="0.1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" x14ac:dyDescent="0.1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" x14ac:dyDescent="0.1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" x14ac:dyDescent="0.1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" x14ac:dyDescent="0.1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" x14ac:dyDescent="0.1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" x14ac:dyDescent="0.1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" x14ac:dyDescent="0.1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" x14ac:dyDescent="0.1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" x14ac:dyDescent="0.1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" x14ac:dyDescent="0.1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" x14ac:dyDescent="0.1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" x14ac:dyDescent="0.1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" x14ac:dyDescent="0.1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" x14ac:dyDescent="0.1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" x14ac:dyDescent="0.1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" x14ac:dyDescent="0.1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" x14ac:dyDescent="0.1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" x14ac:dyDescent="0.1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" x14ac:dyDescent="0.1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" x14ac:dyDescent="0.1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" x14ac:dyDescent="0.1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" x14ac:dyDescent="0.1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" x14ac:dyDescent="0.1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" x14ac:dyDescent="0.1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" x14ac:dyDescent="0.1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" x14ac:dyDescent="0.1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" x14ac:dyDescent="0.1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" x14ac:dyDescent="0.1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" x14ac:dyDescent="0.1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" x14ac:dyDescent="0.1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" x14ac:dyDescent="0.1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" x14ac:dyDescent="0.1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" x14ac:dyDescent="0.1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" x14ac:dyDescent="0.1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" x14ac:dyDescent="0.1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" x14ac:dyDescent="0.1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" x14ac:dyDescent="0.1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" x14ac:dyDescent="0.1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" x14ac:dyDescent="0.1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" x14ac:dyDescent="0.1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" x14ac:dyDescent="0.1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" x14ac:dyDescent="0.1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" x14ac:dyDescent="0.1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" x14ac:dyDescent="0.1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" x14ac:dyDescent="0.1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" x14ac:dyDescent="0.1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" x14ac:dyDescent="0.1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" x14ac:dyDescent="0.1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" x14ac:dyDescent="0.1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" x14ac:dyDescent="0.1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" x14ac:dyDescent="0.1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" x14ac:dyDescent="0.1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" x14ac:dyDescent="0.1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" x14ac:dyDescent="0.1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" x14ac:dyDescent="0.1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" x14ac:dyDescent="0.1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" x14ac:dyDescent="0.1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" x14ac:dyDescent="0.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" x14ac:dyDescent="0.1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" x14ac:dyDescent="0.1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" x14ac:dyDescent="0.1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" x14ac:dyDescent="0.1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" x14ac:dyDescent="0.1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" x14ac:dyDescent="0.1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" x14ac:dyDescent="0.1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" x14ac:dyDescent="0.1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" x14ac:dyDescent="0.1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" x14ac:dyDescent="0.1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" x14ac:dyDescent="0.1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" x14ac:dyDescent="0.1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" x14ac:dyDescent="0.1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" x14ac:dyDescent="0.1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" x14ac:dyDescent="0.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" x14ac:dyDescent="0.1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" x14ac:dyDescent="0.1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" x14ac:dyDescent="0.1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" x14ac:dyDescent="0.1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" x14ac:dyDescent="0.1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" x14ac:dyDescent="0.1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" x14ac:dyDescent="0.1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" x14ac:dyDescent="0.1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" x14ac:dyDescent="0.1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" x14ac:dyDescent="0.1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" x14ac:dyDescent="0.1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" x14ac:dyDescent="0.1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" x14ac:dyDescent="0.1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" x14ac:dyDescent="0.1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" x14ac:dyDescent="0.1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" x14ac:dyDescent="0.1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" x14ac:dyDescent="0.1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" x14ac:dyDescent="0.1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" x14ac:dyDescent="0.1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" x14ac:dyDescent="0.1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" x14ac:dyDescent="0.1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" x14ac:dyDescent="0.1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" x14ac:dyDescent="0.1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" x14ac:dyDescent="0.1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" x14ac:dyDescent="0.1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" x14ac:dyDescent="0.1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" x14ac:dyDescent="0.1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" x14ac:dyDescent="0.1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" x14ac:dyDescent="0.1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" x14ac:dyDescent="0.1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" x14ac:dyDescent="0.1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" x14ac:dyDescent="0.1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" x14ac:dyDescent="0.1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" x14ac:dyDescent="0.1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" x14ac:dyDescent="0.1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" x14ac:dyDescent="0.1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" x14ac:dyDescent="0.1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" x14ac:dyDescent="0.1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" x14ac:dyDescent="0.1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" x14ac:dyDescent="0.1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" x14ac:dyDescent="0.1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" x14ac:dyDescent="0.1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" x14ac:dyDescent="0.1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" x14ac:dyDescent="0.1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" x14ac:dyDescent="0.1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" x14ac:dyDescent="0.1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" x14ac:dyDescent="0.1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" x14ac:dyDescent="0.1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" x14ac:dyDescent="0.1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" x14ac:dyDescent="0.1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" x14ac:dyDescent="0.1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" x14ac:dyDescent="0.1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" x14ac:dyDescent="0.1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" x14ac:dyDescent="0.1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" x14ac:dyDescent="0.1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" x14ac:dyDescent="0.1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" x14ac:dyDescent="0.1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" x14ac:dyDescent="0.1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" x14ac:dyDescent="0.1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" x14ac:dyDescent="0.1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" x14ac:dyDescent="0.1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" x14ac:dyDescent="0.1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" x14ac:dyDescent="0.1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" x14ac:dyDescent="0.1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" x14ac:dyDescent="0.1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" x14ac:dyDescent="0.1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" x14ac:dyDescent="0.1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" x14ac:dyDescent="0.1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" x14ac:dyDescent="0.1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" x14ac:dyDescent="0.1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" x14ac:dyDescent="0.1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" x14ac:dyDescent="0.1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" x14ac:dyDescent="0.1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" x14ac:dyDescent="0.1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" x14ac:dyDescent="0.1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" x14ac:dyDescent="0.1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" x14ac:dyDescent="0.1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" x14ac:dyDescent="0.1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" x14ac:dyDescent="0.1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" x14ac:dyDescent="0.1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" x14ac:dyDescent="0.1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" x14ac:dyDescent="0.1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" x14ac:dyDescent="0.1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" x14ac:dyDescent="0.1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" x14ac:dyDescent="0.1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" x14ac:dyDescent="0.1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" x14ac:dyDescent="0.1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" x14ac:dyDescent="0.1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" x14ac:dyDescent="0.1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" x14ac:dyDescent="0.1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" x14ac:dyDescent="0.1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" x14ac:dyDescent="0.1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" x14ac:dyDescent="0.1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" x14ac:dyDescent="0.1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" x14ac:dyDescent="0.1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" x14ac:dyDescent="0.1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" x14ac:dyDescent="0.1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" x14ac:dyDescent="0.1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" x14ac:dyDescent="0.1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" x14ac:dyDescent="0.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" x14ac:dyDescent="0.1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" x14ac:dyDescent="0.1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" x14ac:dyDescent="0.1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" x14ac:dyDescent="0.1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" x14ac:dyDescent="0.1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" x14ac:dyDescent="0.1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" x14ac:dyDescent="0.1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" x14ac:dyDescent="0.1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" x14ac:dyDescent="0.1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" x14ac:dyDescent="0.1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" x14ac:dyDescent="0.1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" x14ac:dyDescent="0.1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" x14ac:dyDescent="0.1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" x14ac:dyDescent="0.1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" x14ac:dyDescent="0.1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" x14ac:dyDescent="0.1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" x14ac:dyDescent="0.1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" x14ac:dyDescent="0.1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" x14ac:dyDescent="0.1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" x14ac:dyDescent="0.1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" x14ac:dyDescent="0.1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" x14ac:dyDescent="0.1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" x14ac:dyDescent="0.1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" x14ac:dyDescent="0.1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" x14ac:dyDescent="0.1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" x14ac:dyDescent="0.1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" x14ac:dyDescent="0.1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" x14ac:dyDescent="0.1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" x14ac:dyDescent="0.1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" x14ac:dyDescent="0.1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" x14ac:dyDescent="0.1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" x14ac:dyDescent="0.1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" x14ac:dyDescent="0.1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" x14ac:dyDescent="0.1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" x14ac:dyDescent="0.1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" x14ac:dyDescent="0.1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" x14ac:dyDescent="0.1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" x14ac:dyDescent="0.1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" x14ac:dyDescent="0.1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" x14ac:dyDescent="0.1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" x14ac:dyDescent="0.1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" x14ac:dyDescent="0.1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" x14ac:dyDescent="0.1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" x14ac:dyDescent="0.1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" x14ac:dyDescent="0.1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" x14ac:dyDescent="0.1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" x14ac:dyDescent="0.1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" x14ac:dyDescent="0.1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" x14ac:dyDescent="0.1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" x14ac:dyDescent="0.1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" x14ac:dyDescent="0.1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" x14ac:dyDescent="0.1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" x14ac:dyDescent="0.1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" x14ac:dyDescent="0.1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" x14ac:dyDescent="0.1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" x14ac:dyDescent="0.1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" x14ac:dyDescent="0.1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" x14ac:dyDescent="0.1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" x14ac:dyDescent="0.1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" x14ac:dyDescent="0.1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" x14ac:dyDescent="0.1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" x14ac:dyDescent="0.1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" x14ac:dyDescent="0.1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" x14ac:dyDescent="0.1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" x14ac:dyDescent="0.1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" x14ac:dyDescent="0.1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" x14ac:dyDescent="0.1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" x14ac:dyDescent="0.1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" x14ac:dyDescent="0.1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" x14ac:dyDescent="0.1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" x14ac:dyDescent="0.1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" x14ac:dyDescent="0.1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" x14ac:dyDescent="0.1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" x14ac:dyDescent="0.1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" x14ac:dyDescent="0.1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" x14ac:dyDescent="0.1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" x14ac:dyDescent="0.1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" x14ac:dyDescent="0.1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" x14ac:dyDescent="0.1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" x14ac:dyDescent="0.1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" x14ac:dyDescent="0.1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" x14ac:dyDescent="0.1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" x14ac:dyDescent="0.1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" x14ac:dyDescent="0.1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" x14ac:dyDescent="0.1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" x14ac:dyDescent="0.1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" x14ac:dyDescent="0.1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" x14ac:dyDescent="0.1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" x14ac:dyDescent="0.1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" x14ac:dyDescent="0.1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" x14ac:dyDescent="0.1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" x14ac:dyDescent="0.1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" x14ac:dyDescent="0.1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" x14ac:dyDescent="0.1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" x14ac:dyDescent="0.1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" x14ac:dyDescent="0.1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" x14ac:dyDescent="0.1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" x14ac:dyDescent="0.1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" x14ac:dyDescent="0.1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" x14ac:dyDescent="0.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" x14ac:dyDescent="0.1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" x14ac:dyDescent="0.1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" x14ac:dyDescent="0.1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" x14ac:dyDescent="0.1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" x14ac:dyDescent="0.1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" x14ac:dyDescent="0.1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" x14ac:dyDescent="0.1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" x14ac:dyDescent="0.1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" x14ac:dyDescent="0.1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" x14ac:dyDescent="0.1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" x14ac:dyDescent="0.1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" x14ac:dyDescent="0.1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" x14ac:dyDescent="0.1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" x14ac:dyDescent="0.1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" x14ac:dyDescent="0.1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" x14ac:dyDescent="0.1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" x14ac:dyDescent="0.1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" x14ac:dyDescent="0.1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" x14ac:dyDescent="0.1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" x14ac:dyDescent="0.1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" x14ac:dyDescent="0.1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" x14ac:dyDescent="0.1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" x14ac:dyDescent="0.1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" x14ac:dyDescent="0.1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" x14ac:dyDescent="0.1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" x14ac:dyDescent="0.1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" x14ac:dyDescent="0.1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" x14ac:dyDescent="0.1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" x14ac:dyDescent="0.1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" x14ac:dyDescent="0.1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" x14ac:dyDescent="0.1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" x14ac:dyDescent="0.1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" x14ac:dyDescent="0.1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" x14ac:dyDescent="0.1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" x14ac:dyDescent="0.1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" x14ac:dyDescent="0.1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" x14ac:dyDescent="0.1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" x14ac:dyDescent="0.1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" x14ac:dyDescent="0.1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" x14ac:dyDescent="0.1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" x14ac:dyDescent="0.1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" x14ac:dyDescent="0.1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" x14ac:dyDescent="0.1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" x14ac:dyDescent="0.1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" x14ac:dyDescent="0.1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" x14ac:dyDescent="0.1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" x14ac:dyDescent="0.1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" x14ac:dyDescent="0.1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" x14ac:dyDescent="0.1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" x14ac:dyDescent="0.1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" x14ac:dyDescent="0.1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" x14ac:dyDescent="0.1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" x14ac:dyDescent="0.1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" x14ac:dyDescent="0.1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" x14ac:dyDescent="0.1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" x14ac:dyDescent="0.1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" x14ac:dyDescent="0.1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" x14ac:dyDescent="0.1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" x14ac:dyDescent="0.1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" x14ac:dyDescent="0.1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" x14ac:dyDescent="0.1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" x14ac:dyDescent="0.1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" x14ac:dyDescent="0.1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" x14ac:dyDescent="0.1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" x14ac:dyDescent="0.1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" x14ac:dyDescent="0.1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" x14ac:dyDescent="0.1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" x14ac:dyDescent="0.1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" x14ac:dyDescent="0.1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" x14ac:dyDescent="0.1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" x14ac:dyDescent="0.1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" x14ac:dyDescent="0.1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" x14ac:dyDescent="0.1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" x14ac:dyDescent="0.1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" x14ac:dyDescent="0.1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" x14ac:dyDescent="0.1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" x14ac:dyDescent="0.1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" x14ac:dyDescent="0.1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" x14ac:dyDescent="0.1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" x14ac:dyDescent="0.1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" x14ac:dyDescent="0.1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" x14ac:dyDescent="0.1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" x14ac:dyDescent="0.1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" x14ac:dyDescent="0.1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" x14ac:dyDescent="0.1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" x14ac:dyDescent="0.1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" x14ac:dyDescent="0.1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" x14ac:dyDescent="0.1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" x14ac:dyDescent="0.1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" x14ac:dyDescent="0.1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" x14ac:dyDescent="0.1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" x14ac:dyDescent="0.1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" x14ac:dyDescent="0.1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" x14ac:dyDescent="0.1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" x14ac:dyDescent="0.1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" x14ac:dyDescent="0.1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" x14ac:dyDescent="0.1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" x14ac:dyDescent="0.1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" x14ac:dyDescent="0.1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" x14ac:dyDescent="0.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" x14ac:dyDescent="0.1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" x14ac:dyDescent="0.1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" x14ac:dyDescent="0.1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" x14ac:dyDescent="0.1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" x14ac:dyDescent="0.1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" x14ac:dyDescent="0.1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" x14ac:dyDescent="0.1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" x14ac:dyDescent="0.1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" x14ac:dyDescent="0.1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" x14ac:dyDescent="0.1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" x14ac:dyDescent="0.1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" x14ac:dyDescent="0.1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" x14ac:dyDescent="0.1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" x14ac:dyDescent="0.1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" x14ac:dyDescent="0.1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" x14ac:dyDescent="0.1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" x14ac:dyDescent="0.1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" x14ac:dyDescent="0.1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" x14ac:dyDescent="0.1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" x14ac:dyDescent="0.1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" x14ac:dyDescent="0.1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" x14ac:dyDescent="0.1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" x14ac:dyDescent="0.1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" x14ac:dyDescent="0.1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" x14ac:dyDescent="0.1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" x14ac:dyDescent="0.1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" x14ac:dyDescent="0.1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" x14ac:dyDescent="0.1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" x14ac:dyDescent="0.1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" x14ac:dyDescent="0.1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" x14ac:dyDescent="0.1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" x14ac:dyDescent="0.1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" x14ac:dyDescent="0.1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" x14ac:dyDescent="0.1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" x14ac:dyDescent="0.1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" x14ac:dyDescent="0.1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" x14ac:dyDescent="0.1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" x14ac:dyDescent="0.1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" x14ac:dyDescent="0.1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" x14ac:dyDescent="0.1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" x14ac:dyDescent="0.1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" x14ac:dyDescent="0.1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" x14ac:dyDescent="0.1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" x14ac:dyDescent="0.1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" x14ac:dyDescent="0.1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" x14ac:dyDescent="0.1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" x14ac:dyDescent="0.1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" x14ac:dyDescent="0.1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" x14ac:dyDescent="0.1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" x14ac:dyDescent="0.1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" x14ac:dyDescent="0.1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" x14ac:dyDescent="0.1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" x14ac:dyDescent="0.1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" x14ac:dyDescent="0.1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" x14ac:dyDescent="0.1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" x14ac:dyDescent="0.1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" x14ac:dyDescent="0.1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" x14ac:dyDescent="0.1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" x14ac:dyDescent="0.1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" x14ac:dyDescent="0.1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" x14ac:dyDescent="0.1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" x14ac:dyDescent="0.1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" x14ac:dyDescent="0.1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" x14ac:dyDescent="0.1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" x14ac:dyDescent="0.1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" x14ac:dyDescent="0.1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" x14ac:dyDescent="0.1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" x14ac:dyDescent="0.1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" x14ac:dyDescent="0.1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" x14ac:dyDescent="0.1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" x14ac:dyDescent="0.1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" x14ac:dyDescent="0.1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" x14ac:dyDescent="0.1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" x14ac:dyDescent="0.1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" x14ac:dyDescent="0.1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" x14ac:dyDescent="0.1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" x14ac:dyDescent="0.1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" x14ac:dyDescent="0.1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" x14ac:dyDescent="0.1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" x14ac:dyDescent="0.1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" x14ac:dyDescent="0.1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" x14ac:dyDescent="0.1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" x14ac:dyDescent="0.1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" x14ac:dyDescent="0.1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" x14ac:dyDescent="0.1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" x14ac:dyDescent="0.1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" x14ac:dyDescent="0.1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" x14ac:dyDescent="0.1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" x14ac:dyDescent="0.1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" x14ac:dyDescent="0.1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" x14ac:dyDescent="0.1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" x14ac:dyDescent="0.1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" x14ac:dyDescent="0.1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" x14ac:dyDescent="0.1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" x14ac:dyDescent="0.1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" x14ac:dyDescent="0.1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" x14ac:dyDescent="0.1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" x14ac:dyDescent="0.1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" x14ac:dyDescent="0.1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" x14ac:dyDescent="0.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" x14ac:dyDescent="0.1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" x14ac:dyDescent="0.1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" x14ac:dyDescent="0.1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" x14ac:dyDescent="0.1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" x14ac:dyDescent="0.1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" x14ac:dyDescent="0.1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" x14ac:dyDescent="0.1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" x14ac:dyDescent="0.1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" x14ac:dyDescent="0.1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" x14ac:dyDescent="0.1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" x14ac:dyDescent="0.1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" x14ac:dyDescent="0.1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" x14ac:dyDescent="0.1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" x14ac:dyDescent="0.1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" x14ac:dyDescent="0.1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" x14ac:dyDescent="0.1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" x14ac:dyDescent="0.1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" x14ac:dyDescent="0.1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" x14ac:dyDescent="0.1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" x14ac:dyDescent="0.1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" x14ac:dyDescent="0.1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" x14ac:dyDescent="0.1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" x14ac:dyDescent="0.1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" x14ac:dyDescent="0.1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" x14ac:dyDescent="0.1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" x14ac:dyDescent="0.1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" x14ac:dyDescent="0.1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" x14ac:dyDescent="0.1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" x14ac:dyDescent="0.1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" x14ac:dyDescent="0.1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" x14ac:dyDescent="0.1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" x14ac:dyDescent="0.1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" x14ac:dyDescent="0.1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" x14ac:dyDescent="0.1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" x14ac:dyDescent="0.1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" x14ac:dyDescent="0.1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" x14ac:dyDescent="0.1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" x14ac:dyDescent="0.1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" x14ac:dyDescent="0.1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" x14ac:dyDescent="0.1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" x14ac:dyDescent="0.1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" x14ac:dyDescent="0.1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" x14ac:dyDescent="0.1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" x14ac:dyDescent="0.1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" x14ac:dyDescent="0.1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" x14ac:dyDescent="0.1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" x14ac:dyDescent="0.1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" x14ac:dyDescent="0.1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" x14ac:dyDescent="0.1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" x14ac:dyDescent="0.1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" x14ac:dyDescent="0.1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" x14ac:dyDescent="0.1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" x14ac:dyDescent="0.1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" x14ac:dyDescent="0.1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" x14ac:dyDescent="0.1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" x14ac:dyDescent="0.1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" x14ac:dyDescent="0.1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" x14ac:dyDescent="0.1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" x14ac:dyDescent="0.1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" x14ac:dyDescent="0.1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" x14ac:dyDescent="0.1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" x14ac:dyDescent="0.1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" x14ac:dyDescent="0.1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" x14ac:dyDescent="0.1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" x14ac:dyDescent="0.1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" x14ac:dyDescent="0.1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" x14ac:dyDescent="0.1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" x14ac:dyDescent="0.1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" x14ac:dyDescent="0.1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" x14ac:dyDescent="0.1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" x14ac:dyDescent="0.1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" x14ac:dyDescent="0.1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" x14ac:dyDescent="0.1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" x14ac:dyDescent="0.1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" x14ac:dyDescent="0.1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" x14ac:dyDescent="0.1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" x14ac:dyDescent="0.1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" x14ac:dyDescent="0.1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" x14ac:dyDescent="0.1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" x14ac:dyDescent="0.1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" x14ac:dyDescent="0.1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" x14ac:dyDescent="0.1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" x14ac:dyDescent="0.1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" x14ac:dyDescent="0.1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" x14ac:dyDescent="0.1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" x14ac:dyDescent="0.1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" x14ac:dyDescent="0.1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" x14ac:dyDescent="0.1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" x14ac:dyDescent="0.1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" x14ac:dyDescent="0.1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" x14ac:dyDescent="0.1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" x14ac:dyDescent="0.1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" x14ac:dyDescent="0.1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" x14ac:dyDescent="0.1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" x14ac:dyDescent="0.1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" x14ac:dyDescent="0.1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" x14ac:dyDescent="0.1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" x14ac:dyDescent="0.1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" x14ac:dyDescent="0.1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" x14ac:dyDescent="0.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" x14ac:dyDescent="0.1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" x14ac:dyDescent="0.1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" x14ac:dyDescent="0.1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" x14ac:dyDescent="0.1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" x14ac:dyDescent="0.1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" x14ac:dyDescent="0.1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" x14ac:dyDescent="0.1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" x14ac:dyDescent="0.1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" x14ac:dyDescent="0.1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" x14ac:dyDescent="0.1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" x14ac:dyDescent="0.1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" x14ac:dyDescent="0.1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" x14ac:dyDescent="0.1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" x14ac:dyDescent="0.1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" x14ac:dyDescent="0.1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" x14ac:dyDescent="0.1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" x14ac:dyDescent="0.1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" x14ac:dyDescent="0.1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" x14ac:dyDescent="0.1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" x14ac:dyDescent="0.1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" x14ac:dyDescent="0.1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" x14ac:dyDescent="0.1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" x14ac:dyDescent="0.1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" x14ac:dyDescent="0.1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" x14ac:dyDescent="0.1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" x14ac:dyDescent="0.1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" x14ac:dyDescent="0.1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" x14ac:dyDescent="0.1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" x14ac:dyDescent="0.1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" x14ac:dyDescent="0.1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" x14ac:dyDescent="0.1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" x14ac:dyDescent="0.1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" x14ac:dyDescent="0.1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" x14ac:dyDescent="0.1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" x14ac:dyDescent="0.1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" x14ac:dyDescent="0.1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" x14ac:dyDescent="0.1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" x14ac:dyDescent="0.1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" x14ac:dyDescent="0.1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" x14ac:dyDescent="0.1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" x14ac:dyDescent="0.1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" x14ac:dyDescent="0.1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" x14ac:dyDescent="0.1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" x14ac:dyDescent="0.1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" x14ac:dyDescent="0.1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" x14ac:dyDescent="0.1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" x14ac:dyDescent="0.1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" x14ac:dyDescent="0.1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" x14ac:dyDescent="0.1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" x14ac:dyDescent="0.1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" x14ac:dyDescent="0.1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" x14ac:dyDescent="0.1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" x14ac:dyDescent="0.1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" x14ac:dyDescent="0.1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" x14ac:dyDescent="0.1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" x14ac:dyDescent="0.1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" x14ac:dyDescent="0.1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" x14ac:dyDescent="0.1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" x14ac:dyDescent="0.1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" x14ac:dyDescent="0.1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" x14ac:dyDescent="0.1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" x14ac:dyDescent="0.1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" x14ac:dyDescent="0.1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" x14ac:dyDescent="0.1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" x14ac:dyDescent="0.1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" x14ac:dyDescent="0.1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" x14ac:dyDescent="0.1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" x14ac:dyDescent="0.1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" x14ac:dyDescent="0.1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" x14ac:dyDescent="0.1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" x14ac:dyDescent="0.1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" x14ac:dyDescent="0.1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" x14ac:dyDescent="0.1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" x14ac:dyDescent="0.1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" x14ac:dyDescent="0.1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" x14ac:dyDescent="0.1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" x14ac:dyDescent="0.1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" x14ac:dyDescent="0.1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" x14ac:dyDescent="0.1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" x14ac:dyDescent="0.1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" x14ac:dyDescent="0.1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" x14ac:dyDescent="0.1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" x14ac:dyDescent="0.1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" x14ac:dyDescent="0.1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" x14ac:dyDescent="0.1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" x14ac:dyDescent="0.1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" x14ac:dyDescent="0.1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" x14ac:dyDescent="0.1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" x14ac:dyDescent="0.1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" x14ac:dyDescent="0.1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" x14ac:dyDescent="0.1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" x14ac:dyDescent="0.1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" x14ac:dyDescent="0.1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" x14ac:dyDescent="0.1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" x14ac:dyDescent="0.1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" x14ac:dyDescent="0.1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" x14ac:dyDescent="0.1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" x14ac:dyDescent="0.1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" x14ac:dyDescent="0.1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" x14ac:dyDescent="0.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" x14ac:dyDescent="0.1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" x14ac:dyDescent="0.1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" x14ac:dyDescent="0.1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" x14ac:dyDescent="0.1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" x14ac:dyDescent="0.1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" x14ac:dyDescent="0.1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" x14ac:dyDescent="0.1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" x14ac:dyDescent="0.1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" x14ac:dyDescent="0.1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" x14ac:dyDescent="0.1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" x14ac:dyDescent="0.1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" x14ac:dyDescent="0.1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" x14ac:dyDescent="0.1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" x14ac:dyDescent="0.1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" x14ac:dyDescent="0.1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" x14ac:dyDescent="0.1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" x14ac:dyDescent="0.1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" x14ac:dyDescent="0.1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" x14ac:dyDescent="0.1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" x14ac:dyDescent="0.1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" x14ac:dyDescent="0.1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" x14ac:dyDescent="0.1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" x14ac:dyDescent="0.1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" x14ac:dyDescent="0.1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" x14ac:dyDescent="0.1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" x14ac:dyDescent="0.1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" x14ac:dyDescent="0.1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" x14ac:dyDescent="0.1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" x14ac:dyDescent="0.1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" x14ac:dyDescent="0.1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" x14ac:dyDescent="0.1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" x14ac:dyDescent="0.1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" x14ac:dyDescent="0.1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" x14ac:dyDescent="0.1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" x14ac:dyDescent="0.1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" x14ac:dyDescent="0.1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" x14ac:dyDescent="0.1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" x14ac:dyDescent="0.1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" x14ac:dyDescent="0.1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" x14ac:dyDescent="0.1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" x14ac:dyDescent="0.1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" x14ac:dyDescent="0.1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" x14ac:dyDescent="0.1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" x14ac:dyDescent="0.1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" x14ac:dyDescent="0.1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" x14ac:dyDescent="0.1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" x14ac:dyDescent="0.1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" x14ac:dyDescent="0.1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" x14ac:dyDescent="0.1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" x14ac:dyDescent="0.1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" x14ac:dyDescent="0.1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" x14ac:dyDescent="0.1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" x14ac:dyDescent="0.1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" x14ac:dyDescent="0.1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" x14ac:dyDescent="0.1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" x14ac:dyDescent="0.1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" x14ac:dyDescent="0.1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" x14ac:dyDescent="0.1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" x14ac:dyDescent="0.1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" x14ac:dyDescent="0.1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" x14ac:dyDescent="0.1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" x14ac:dyDescent="0.1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" x14ac:dyDescent="0.1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" x14ac:dyDescent="0.1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" x14ac:dyDescent="0.1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" x14ac:dyDescent="0.1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" x14ac:dyDescent="0.1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" x14ac:dyDescent="0.1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" x14ac:dyDescent="0.1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" x14ac:dyDescent="0.1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" x14ac:dyDescent="0.1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" x14ac:dyDescent="0.1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" x14ac:dyDescent="0.1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" x14ac:dyDescent="0.1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" x14ac:dyDescent="0.1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" x14ac:dyDescent="0.1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" x14ac:dyDescent="0.1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" x14ac:dyDescent="0.1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" x14ac:dyDescent="0.1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" x14ac:dyDescent="0.1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" x14ac:dyDescent="0.1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" x14ac:dyDescent="0.1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" x14ac:dyDescent="0.1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" x14ac:dyDescent="0.1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" x14ac:dyDescent="0.1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3" x14ac:dyDescent="0.1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3">
    <mergeCell ref="A6:A18"/>
    <mergeCell ref="B6:F6"/>
    <mergeCell ref="A21:A33"/>
  </mergeCells>
  <conditionalFormatting sqref="D23:N33">
    <cfRule type="colorScale" priority="1">
      <colorScale>
        <cfvo type="min"/>
        <cfvo type="max"/>
        <color rgb="FFFFFFFF"/>
        <color rgb="FF57BB8A"/>
      </colorScale>
    </cfRule>
  </conditionalFormatting>
  <dataValidations count="1">
    <dataValidation type="list" allowBlank="1" showErrorMessage="1" sqref="B2:C2" xr:uid="{00000000-0002-0000-0000-000000000000}">
      <formula1>teams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4"/>
  <sheetViews>
    <sheetView workbookViewId="0"/>
  </sheetViews>
  <sheetFormatPr baseColWidth="10" defaultColWidth="12.6640625" defaultRowHeight="15.75" customHeight="1" x14ac:dyDescent="0.15"/>
  <sheetData>
    <row r="1" spans="1:26" ht="15.75" customHeight="1" x14ac:dyDescent="0.15">
      <c r="A1" s="31" t="s">
        <v>14</v>
      </c>
      <c r="B1" s="31" t="s">
        <v>15</v>
      </c>
      <c r="C1" s="31" t="s">
        <v>16</v>
      </c>
      <c r="D1" s="31" t="s">
        <v>17</v>
      </c>
      <c r="E1" s="31" t="s">
        <v>18</v>
      </c>
      <c r="F1" s="31" t="s">
        <v>19</v>
      </c>
      <c r="G1" s="31" t="s">
        <v>20</v>
      </c>
      <c r="H1" s="31" t="s">
        <v>21</v>
      </c>
      <c r="I1" s="31" t="s">
        <v>22</v>
      </c>
      <c r="J1" s="31" t="s">
        <v>23</v>
      </c>
      <c r="K1" s="32" t="s">
        <v>24</v>
      </c>
      <c r="L1" s="32" t="s">
        <v>25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 x14ac:dyDescent="0.15">
      <c r="A2" s="34">
        <v>1</v>
      </c>
      <c r="B2" s="34" t="s">
        <v>6</v>
      </c>
      <c r="C2" s="34">
        <v>35</v>
      </c>
      <c r="D2" s="34">
        <v>28</v>
      </c>
      <c r="E2" s="34">
        <v>5</v>
      </c>
      <c r="F2" s="34">
        <v>2</v>
      </c>
      <c r="G2" s="34">
        <v>81</v>
      </c>
      <c r="H2" s="34">
        <v>19</v>
      </c>
      <c r="I2" s="34">
        <v>62</v>
      </c>
      <c r="J2" s="35">
        <v>89</v>
      </c>
      <c r="K2" s="36">
        <f t="shared" ref="K2:K21" si="0">(G2/C2)/$G$24</f>
        <v>1.7925382653061226</v>
      </c>
      <c r="L2" s="36">
        <f t="shared" ref="L2:L21" si="1">(H2/C2)/$G$24</f>
        <v>0.42047193877551015</v>
      </c>
    </row>
    <row r="3" spans="1:26" ht="15.75" customHeight="1" x14ac:dyDescent="0.15">
      <c r="A3" s="34">
        <v>2</v>
      </c>
      <c r="B3" s="34" t="s">
        <v>26</v>
      </c>
      <c r="C3" s="34">
        <v>35</v>
      </c>
      <c r="D3" s="34">
        <v>21</v>
      </c>
      <c r="E3" s="34">
        <v>8</v>
      </c>
      <c r="F3" s="34">
        <v>6</v>
      </c>
      <c r="G3" s="34">
        <v>67</v>
      </c>
      <c r="H3" s="34">
        <v>42</v>
      </c>
      <c r="I3" s="34">
        <v>25</v>
      </c>
      <c r="J3" s="35">
        <v>71</v>
      </c>
      <c r="K3" s="36">
        <f t="shared" si="0"/>
        <v>1.4827168367346939</v>
      </c>
      <c r="L3" s="36">
        <f t="shared" si="1"/>
        <v>0.92946428571428563</v>
      </c>
    </row>
    <row r="4" spans="1:26" ht="15.75" customHeight="1" x14ac:dyDescent="0.15">
      <c r="A4" s="34">
        <v>3</v>
      </c>
      <c r="B4" s="34" t="s">
        <v>27</v>
      </c>
      <c r="C4" s="34">
        <v>35</v>
      </c>
      <c r="D4" s="34">
        <v>18</v>
      </c>
      <c r="E4" s="34">
        <v>12</v>
      </c>
      <c r="F4" s="34">
        <v>5</v>
      </c>
      <c r="G4" s="34">
        <v>48</v>
      </c>
      <c r="H4" s="34">
        <v>27</v>
      </c>
      <c r="I4" s="34">
        <v>21</v>
      </c>
      <c r="J4" s="35">
        <v>66</v>
      </c>
      <c r="K4" s="36">
        <f t="shared" si="0"/>
        <v>1.0622448979591836</v>
      </c>
      <c r="L4" s="36">
        <f t="shared" si="1"/>
        <v>0.59751275510204083</v>
      </c>
    </row>
    <row r="5" spans="1:26" ht="15.75" customHeight="1" x14ac:dyDescent="0.15">
      <c r="A5" s="34">
        <v>4</v>
      </c>
      <c r="B5" s="34" t="s">
        <v>28</v>
      </c>
      <c r="C5" s="34">
        <v>35</v>
      </c>
      <c r="D5" s="34">
        <v>17</v>
      </c>
      <c r="E5" s="34">
        <v>13</v>
      </c>
      <c r="F5" s="34">
        <v>5</v>
      </c>
      <c r="G5" s="34">
        <v>49</v>
      </c>
      <c r="H5" s="34">
        <v>27</v>
      </c>
      <c r="I5" s="34">
        <v>22</v>
      </c>
      <c r="J5" s="35">
        <v>64</v>
      </c>
      <c r="K5" s="36">
        <f t="shared" si="0"/>
        <v>1.0843749999999999</v>
      </c>
      <c r="L5" s="36">
        <f t="shared" si="1"/>
        <v>0.59751275510204083</v>
      </c>
    </row>
    <row r="6" spans="1:26" ht="15.75" customHeight="1" x14ac:dyDescent="0.15">
      <c r="A6" s="34">
        <v>5</v>
      </c>
      <c r="B6" s="34" t="s">
        <v>29</v>
      </c>
      <c r="C6" s="34">
        <v>35</v>
      </c>
      <c r="D6" s="34">
        <v>17</v>
      </c>
      <c r="E6" s="34">
        <v>9</v>
      </c>
      <c r="F6" s="34">
        <v>9</v>
      </c>
      <c r="G6" s="34">
        <v>62</v>
      </c>
      <c r="H6" s="34">
        <v>42</v>
      </c>
      <c r="I6" s="34">
        <v>20</v>
      </c>
      <c r="J6" s="35">
        <v>60</v>
      </c>
      <c r="K6" s="36">
        <f t="shared" si="0"/>
        <v>1.3720663265306121</v>
      </c>
      <c r="L6" s="36">
        <f t="shared" si="1"/>
        <v>0.92946428571428563</v>
      </c>
    </row>
    <row r="7" spans="1:26" ht="15.75" customHeight="1" x14ac:dyDescent="0.15">
      <c r="A7" s="34">
        <v>6</v>
      </c>
      <c r="B7" s="34" t="s">
        <v>30</v>
      </c>
      <c r="C7" s="34">
        <v>33</v>
      </c>
      <c r="D7" s="34">
        <v>17</v>
      </c>
      <c r="E7" s="34">
        <v>6</v>
      </c>
      <c r="F7" s="34">
        <v>10</v>
      </c>
      <c r="G7" s="34">
        <v>61</v>
      </c>
      <c r="H7" s="34">
        <v>37</v>
      </c>
      <c r="I7" s="34">
        <v>24</v>
      </c>
      <c r="J7" s="35">
        <v>57</v>
      </c>
      <c r="K7" s="36">
        <f t="shared" si="0"/>
        <v>1.4317505411255411</v>
      </c>
      <c r="L7" s="36">
        <f t="shared" si="1"/>
        <v>0.86843885281385269</v>
      </c>
    </row>
    <row r="8" spans="1:26" ht="15.75" customHeight="1" x14ac:dyDescent="0.15">
      <c r="A8" s="34">
        <v>7</v>
      </c>
      <c r="B8" s="34" t="s">
        <v>31</v>
      </c>
      <c r="C8" s="34">
        <v>35</v>
      </c>
      <c r="D8" s="34">
        <v>17</v>
      </c>
      <c r="E8" s="34">
        <v>5</v>
      </c>
      <c r="F8" s="34">
        <v>13</v>
      </c>
      <c r="G8" s="34">
        <v>45</v>
      </c>
      <c r="H8" s="34">
        <v>37</v>
      </c>
      <c r="I8" s="34">
        <v>8</v>
      </c>
      <c r="J8" s="35">
        <v>56</v>
      </c>
      <c r="K8" s="36">
        <f t="shared" si="0"/>
        <v>0.99585459183673475</v>
      </c>
      <c r="L8" s="36">
        <f t="shared" si="1"/>
        <v>0.81881377551020407</v>
      </c>
    </row>
    <row r="9" spans="1:26" ht="15.75" customHeight="1" x14ac:dyDescent="0.15">
      <c r="A9" s="34">
        <v>8</v>
      </c>
      <c r="B9" s="34" t="s">
        <v>32</v>
      </c>
      <c r="C9" s="34">
        <v>34</v>
      </c>
      <c r="D9" s="34">
        <v>14</v>
      </c>
      <c r="E9" s="34">
        <v>8</v>
      </c>
      <c r="F9" s="34">
        <v>12</v>
      </c>
      <c r="G9" s="34">
        <v>51</v>
      </c>
      <c r="H9" s="34">
        <v>39</v>
      </c>
      <c r="I9" s="34">
        <v>12</v>
      </c>
      <c r="J9" s="35">
        <v>50</v>
      </c>
      <c r="K9" s="36">
        <f t="shared" si="0"/>
        <v>1.1618303571428572</v>
      </c>
      <c r="L9" s="36">
        <f t="shared" si="1"/>
        <v>0.88845850840336127</v>
      </c>
    </row>
    <row r="10" spans="1:26" ht="15.75" customHeight="1" x14ac:dyDescent="0.15">
      <c r="A10" s="34">
        <v>9</v>
      </c>
      <c r="B10" s="34" t="s">
        <v>33</v>
      </c>
      <c r="C10" s="34">
        <v>34</v>
      </c>
      <c r="D10" s="34">
        <v>13</v>
      </c>
      <c r="E10" s="34">
        <v>11</v>
      </c>
      <c r="F10" s="34">
        <v>10</v>
      </c>
      <c r="G10" s="34">
        <v>52</v>
      </c>
      <c r="H10" s="34">
        <v>43</v>
      </c>
      <c r="I10" s="34">
        <v>9</v>
      </c>
      <c r="J10" s="35">
        <v>50</v>
      </c>
      <c r="K10" s="36">
        <f t="shared" si="0"/>
        <v>1.184611344537815</v>
      </c>
      <c r="L10" s="36">
        <f t="shared" si="1"/>
        <v>0.97958245798319321</v>
      </c>
    </row>
    <row r="11" spans="1:26" ht="15.75" customHeight="1" x14ac:dyDescent="0.15">
      <c r="A11" s="34">
        <v>10</v>
      </c>
      <c r="B11" s="34" t="s">
        <v>34</v>
      </c>
      <c r="C11" s="34">
        <v>35</v>
      </c>
      <c r="D11" s="34">
        <v>11</v>
      </c>
      <c r="E11" s="34">
        <v>14</v>
      </c>
      <c r="F11" s="34">
        <v>10</v>
      </c>
      <c r="G11" s="34">
        <v>31</v>
      </c>
      <c r="H11" s="34">
        <v>31</v>
      </c>
      <c r="I11" s="34">
        <v>0</v>
      </c>
      <c r="J11" s="35">
        <v>47</v>
      </c>
      <c r="K11" s="36">
        <f t="shared" si="0"/>
        <v>0.68603316326530606</v>
      </c>
      <c r="L11" s="36">
        <f t="shared" si="1"/>
        <v>0.68603316326530606</v>
      </c>
    </row>
    <row r="12" spans="1:26" ht="15.75" customHeight="1" x14ac:dyDescent="0.15">
      <c r="A12" s="34">
        <v>11</v>
      </c>
      <c r="B12" s="34" t="s">
        <v>35</v>
      </c>
      <c r="C12" s="34">
        <v>35</v>
      </c>
      <c r="D12" s="34">
        <v>11</v>
      </c>
      <c r="E12" s="34">
        <v>12</v>
      </c>
      <c r="F12" s="34">
        <v>12</v>
      </c>
      <c r="G12" s="34">
        <v>38</v>
      </c>
      <c r="H12" s="34">
        <v>46</v>
      </c>
      <c r="I12" s="34">
        <v>-8</v>
      </c>
      <c r="J12" s="35">
        <v>45</v>
      </c>
      <c r="K12" s="36">
        <f t="shared" si="0"/>
        <v>0.84094387755102029</v>
      </c>
      <c r="L12" s="36">
        <f t="shared" si="1"/>
        <v>1.017984693877551</v>
      </c>
    </row>
    <row r="13" spans="1:26" ht="15.75" customHeight="1" x14ac:dyDescent="0.15">
      <c r="A13" s="34">
        <v>12</v>
      </c>
      <c r="B13" s="34" t="s">
        <v>36</v>
      </c>
      <c r="C13" s="34">
        <v>35</v>
      </c>
      <c r="D13" s="34">
        <v>10</v>
      </c>
      <c r="E13" s="34">
        <v>13</v>
      </c>
      <c r="F13" s="34">
        <v>12</v>
      </c>
      <c r="G13" s="34">
        <v>41</v>
      </c>
      <c r="H13" s="34">
        <v>43</v>
      </c>
      <c r="I13" s="34">
        <v>-2</v>
      </c>
      <c r="J13" s="35">
        <v>43</v>
      </c>
      <c r="K13" s="36">
        <f t="shared" si="0"/>
        <v>0.90733418367346941</v>
      </c>
      <c r="L13" s="36">
        <f t="shared" si="1"/>
        <v>0.95159438775510208</v>
      </c>
    </row>
    <row r="14" spans="1:26" ht="15.75" customHeight="1" x14ac:dyDescent="0.15">
      <c r="A14" s="34">
        <v>13</v>
      </c>
      <c r="B14" s="34" t="s">
        <v>37</v>
      </c>
      <c r="C14" s="34">
        <v>35</v>
      </c>
      <c r="D14" s="34">
        <v>8</v>
      </c>
      <c r="E14" s="34">
        <v>13</v>
      </c>
      <c r="F14" s="34">
        <v>14</v>
      </c>
      <c r="G14" s="34">
        <v>32</v>
      </c>
      <c r="H14" s="34">
        <v>50</v>
      </c>
      <c r="I14" s="34">
        <v>-18</v>
      </c>
      <c r="J14" s="35">
        <v>37</v>
      </c>
      <c r="K14" s="36">
        <f t="shared" si="0"/>
        <v>0.70816326530612239</v>
      </c>
      <c r="L14" s="36">
        <f t="shared" si="1"/>
        <v>1.1065051020408163</v>
      </c>
    </row>
    <row r="15" spans="1:26" ht="15.75" customHeight="1" x14ac:dyDescent="0.15">
      <c r="A15" s="34">
        <v>14</v>
      </c>
      <c r="B15" s="34" t="s">
        <v>38</v>
      </c>
      <c r="C15" s="34">
        <v>35</v>
      </c>
      <c r="D15" s="34">
        <v>8</v>
      </c>
      <c r="E15" s="34">
        <v>10</v>
      </c>
      <c r="F15" s="34">
        <v>17</v>
      </c>
      <c r="G15" s="34">
        <v>33</v>
      </c>
      <c r="H15" s="34">
        <v>46</v>
      </c>
      <c r="I15" s="34">
        <v>-13</v>
      </c>
      <c r="J15" s="35">
        <v>34</v>
      </c>
      <c r="K15" s="36">
        <f t="shared" si="0"/>
        <v>0.73029336734693873</v>
      </c>
      <c r="L15" s="36">
        <f t="shared" si="1"/>
        <v>1.017984693877551</v>
      </c>
    </row>
    <row r="16" spans="1:26" ht="15.75" customHeight="1" x14ac:dyDescent="0.15">
      <c r="A16" s="34">
        <v>15</v>
      </c>
      <c r="B16" s="34" t="s">
        <v>39</v>
      </c>
      <c r="C16" s="34">
        <v>35</v>
      </c>
      <c r="D16" s="34">
        <v>7</v>
      </c>
      <c r="E16" s="34">
        <v>12</v>
      </c>
      <c r="F16" s="34">
        <v>16</v>
      </c>
      <c r="G16" s="34">
        <v>37</v>
      </c>
      <c r="H16" s="34">
        <v>60</v>
      </c>
      <c r="I16" s="34">
        <v>-23</v>
      </c>
      <c r="J16" s="35">
        <v>33</v>
      </c>
      <c r="K16" s="36">
        <f t="shared" si="0"/>
        <v>0.81881377551020407</v>
      </c>
      <c r="L16" s="36">
        <f t="shared" si="1"/>
        <v>1.3278061224489794</v>
      </c>
    </row>
    <row r="17" spans="1:12" ht="15.75" customHeight="1" x14ac:dyDescent="0.15">
      <c r="A17" s="34">
        <v>16</v>
      </c>
      <c r="B17" s="34" t="s">
        <v>5</v>
      </c>
      <c r="C17" s="34">
        <v>35</v>
      </c>
      <c r="D17" s="34">
        <v>7</v>
      </c>
      <c r="E17" s="34">
        <v>11</v>
      </c>
      <c r="F17" s="34">
        <v>17</v>
      </c>
      <c r="G17" s="34">
        <v>43</v>
      </c>
      <c r="H17" s="34">
        <v>63</v>
      </c>
      <c r="I17" s="34">
        <v>-20</v>
      </c>
      <c r="J17" s="35">
        <v>32</v>
      </c>
      <c r="K17" s="36">
        <f t="shared" si="0"/>
        <v>0.95159438775510208</v>
      </c>
      <c r="L17" s="36">
        <f t="shared" si="1"/>
        <v>1.3941964285714286</v>
      </c>
    </row>
    <row r="18" spans="1:12" ht="15.75" customHeight="1" x14ac:dyDescent="0.15">
      <c r="A18" s="34">
        <v>17</v>
      </c>
      <c r="B18" s="34" t="s">
        <v>40</v>
      </c>
      <c r="C18" s="34">
        <v>35</v>
      </c>
      <c r="D18" s="34">
        <v>8</v>
      </c>
      <c r="E18" s="34">
        <v>8</v>
      </c>
      <c r="F18" s="34">
        <v>19</v>
      </c>
      <c r="G18" s="34">
        <v>26</v>
      </c>
      <c r="H18" s="34">
        <v>50</v>
      </c>
      <c r="I18" s="34">
        <v>-24</v>
      </c>
      <c r="J18" s="35">
        <v>32</v>
      </c>
      <c r="K18" s="36">
        <f t="shared" si="0"/>
        <v>0.57538265306122449</v>
      </c>
      <c r="L18" s="36">
        <f t="shared" si="1"/>
        <v>1.1065051020408163</v>
      </c>
    </row>
    <row r="19" spans="1:12" ht="15.75" customHeight="1" x14ac:dyDescent="0.15">
      <c r="A19" s="34">
        <v>18</v>
      </c>
      <c r="B19" s="34" t="s">
        <v>41</v>
      </c>
      <c r="C19" s="34">
        <v>34</v>
      </c>
      <c r="D19" s="34">
        <v>4</v>
      </c>
      <c r="E19" s="34">
        <v>17</v>
      </c>
      <c r="F19" s="34">
        <v>13</v>
      </c>
      <c r="G19" s="34">
        <v>32</v>
      </c>
      <c r="H19" s="34">
        <v>51</v>
      </c>
      <c r="I19" s="34">
        <v>-19</v>
      </c>
      <c r="J19" s="35">
        <v>29</v>
      </c>
      <c r="K19" s="36">
        <f t="shared" si="0"/>
        <v>0.72899159663865543</v>
      </c>
      <c r="L19" s="36">
        <f t="shared" si="1"/>
        <v>1.1618303571428572</v>
      </c>
    </row>
    <row r="20" spans="1:12" ht="15.75" customHeight="1" x14ac:dyDescent="0.15">
      <c r="A20" s="34">
        <v>19</v>
      </c>
      <c r="B20" s="34" t="s">
        <v>42</v>
      </c>
      <c r="C20" s="34">
        <v>35</v>
      </c>
      <c r="D20" s="34">
        <v>7</v>
      </c>
      <c r="E20" s="34">
        <v>8</v>
      </c>
      <c r="F20" s="34">
        <v>20</v>
      </c>
      <c r="G20" s="34">
        <v>41</v>
      </c>
      <c r="H20" s="34">
        <v>70</v>
      </c>
      <c r="I20" s="34">
        <v>-29</v>
      </c>
      <c r="J20" s="35">
        <v>29</v>
      </c>
      <c r="K20" s="36">
        <f t="shared" si="0"/>
        <v>0.90733418367346941</v>
      </c>
      <c r="L20" s="36">
        <f t="shared" si="1"/>
        <v>1.5491071428571428</v>
      </c>
    </row>
    <row r="21" spans="1:12" ht="15.75" customHeight="1" x14ac:dyDescent="0.15">
      <c r="A21" s="34">
        <v>20</v>
      </c>
      <c r="B21" s="34" t="s">
        <v>43</v>
      </c>
      <c r="C21" s="34">
        <v>34</v>
      </c>
      <c r="D21" s="34">
        <v>2</v>
      </c>
      <c r="E21" s="34">
        <v>9</v>
      </c>
      <c r="F21" s="34">
        <v>23</v>
      </c>
      <c r="G21" s="34">
        <v>26</v>
      </c>
      <c r="H21" s="34">
        <v>73</v>
      </c>
      <c r="I21" s="34">
        <v>-47</v>
      </c>
      <c r="J21" s="35">
        <v>15</v>
      </c>
      <c r="K21" s="36">
        <f t="shared" si="0"/>
        <v>0.59230567226890751</v>
      </c>
      <c r="L21" s="36">
        <f t="shared" si="1"/>
        <v>1.6630120798319328</v>
      </c>
    </row>
    <row r="22" spans="1:12" ht="15.75" customHeight="1" x14ac:dyDescent="0.15">
      <c r="J22" s="35"/>
    </row>
    <row r="24" spans="1:12" ht="15.75" customHeight="1" x14ac:dyDescent="0.15">
      <c r="F24" s="34" t="s">
        <v>44</v>
      </c>
      <c r="G24" s="37">
        <f>SUM(G2:G21)/SUM(C2:C21)</f>
        <v>1.2910662824207493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Predictive Model</vt:lpstr>
      <vt:lpstr>Data Source</vt:lpstr>
      <vt:lpstr>ATT</vt:lpstr>
      <vt:lpstr>Avg</vt:lpstr>
      <vt:lpstr>DEF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Brianca Hernawan</cp:lastModifiedBy>
  <dcterms:modified xsi:type="dcterms:W3CDTF">2026-03-16T12:58:52Z</dcterms:modified>
</cp:coreProperties>
</file>