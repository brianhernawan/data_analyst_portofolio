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hidePivotFieldList="1" defaultThemeVersion="166925"/>
  <mc:AlternateContent xmlns:mc="http://schemas.openxmlformats.org/markup-compatibility/2006">
    <mc:Choice Requires="x15">
      <x15ac:absPath xmlns:x15ac="http://schemas.microsoft.com/office/spreadsheetml/2010/11/ac" url="/Users/briancahernawan/Documents/Data Analyst/1. Porto/1. Excel/1. Excel Dashboard/"/>
    </mc:Choice>
  </mc:AlternateContent>
  <xr:revisionPtr revIDLastSave="0" documentId="13_ncr:1_{DE1004C8-87C3-5E4B-AADD-C8AEC6CC0EAB}" xr6:coauthVersionLast="47" xr6:coauthVersionMax="47" xr10:uidLastSave="{00000000-0000-0000-0000-000000000000}"/>
  <bookViews>
    <workbookView xWindow="1580" yWindow="1120" windowWidth="29220" windowHeight="17100" xr2:uid="{00000000-000D-0000-FFFF-FFFF00000000}"/>
  </bookViews>
  <sheets>
    <sheet name="DashColumn, Pie, Sunburst Chart" sheetId="3" r:id="rId1"/>
    <sheet name="Car_sales" sheetId="1" r:id="rId2"/>
    <sheet name="Bar Chart" sheetId="2" r:id="rId3"/>
  </sheets>
  <definedNames>
    <definedName name="_xlchart.v1.0" hidden="1">'DashColumn, Pie, Sunburst Chart'!$B$2:$B$156</definedName>
    <definedName name="_xlchart.v1.1" hidden="1">'DashColumn, Pie, Sunburst Chart'!$C$2:$C$156</definedName>
    <definedName name="Slicer_Manufacturer">#N/A</definedName>
    <definedName name="Slicer_Model">#N/A</definedName>
  </definedNames>
  <calcPr calcId="191028"/>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<sst xmlns="http://schemas.openxmlformats.org/spreadsheetml/2006/main" count="976" uniqueCount="209">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</sst>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'DashColumn, Pie, Sunburst Chart'!$B$2:$B$156</c:f>
              <c:strCache>
                <c:ptCount val="4"/>
                <c:pt idx="0">
                  <c:v>4Runner</c:v>
                </c:pt>
                <c:pt idx="1">
                  <c:v>Avalon</c:v>
                </c:pt>
                <c:pt idx="2">
                  <c:v>Camry</c:v>
                </c:pt>
                <c:pt idx="3">
                  <c:v>Celica</c:v>
                </c:pt>
              </c:strCache>
            </c:strRef>
          </c:cat>
          <c:val>
            <c:numRef>
              <c:f>'DashColumn,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'DashColumn, Pie, Sunburst Chart'!$B$2:$B$156</c:f>
              <c:strCache>
                <c:ptCount val="4"/>
                <c:pt idx="0">
                  <c:v>4Runner</c:v>
                </c:pt>
                <c:pt idx="1">
                  <c:v>Avalon</c:v>
                </c:pt>
                <c:pt idx="2">
                  <c:v>Camry</c:v>
                </c:pt>
                <c:pt idx="3">
                  <c:v>Celica</c:v>
                </c:pt>
              </c:strCache>
            </c:strRef>
          </c:cat>
          <c:val>
            <c:numRef>
              <c:f>'DashColumn,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6</xdr:col>
      <xdr:colOff>66675</xdr:colOff>
      <xdr:row>177</xdr:row>
      <xdr:rowOff>50800</xdr:rowOff>
    </xdr:from>
    <xdr:to>
      <xdr:col>8</xdr:col>
      <xdr:colOff>790575</xdr:colOff>
      <xdr:row>191</xdr:row>
      <xdr:rowOff>12700</xdr:rowOff>
    </xdr:to>
    <mc:AlternateContent xmlns:mc="http://schemas.openxmlformats.org/markup-compatibility/2006">
      <mc:Choice xmlns:sle15="http://schemas.microsoft.com/office/drawing/2012/slicer"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7496175" y="5003800"/>
              <a:ext cx="3060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09725" y="4956175"/>
              <a:ext cx="4762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3"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22" dataCellStyle="60% - Accent2"/>
    <tableColumn id="1" xr3:uid="{91732ACF-B59B-4736-A06E-BE7ADB4669C2}" name="Model" dataDxfId="21" dataCellStyle="60% - Accent6"/>
    <tableColumn id="4" xr3:uid="{AC38EB39-9FE7-4815-9A95-BD4739621249}" name="Unit Sales" dataDxfId="20"/>
    <tableColumn id="5" xr3:uid="{48155666-2FFE-4435-98FA-77A71F62A4CD}" name="Price" dataDxfId="19"/>
    <tableColumn id="6" xr3:uid="{E6C9B305-43C4-4AA9-AF99-52F226A2A489}" name="Year Resale Value" dataDxfId="18"/>
    <tableColumn id="7" xr3:uid="{53AB75B2-B4C7-4B08-A310-E333B5D08F1E}" name="Retention %" dataDxfId="17" dataCellStyle="Percent">
      <calculatedColumnFormula>SUM(E2/D2)</calculatedColumnFormula>
    </tableColumn>
    <tableColumn id="8" xr3:uid="{14C0ED08-C800-44FC-AEFF-AD4CB3BA4CE3}" name="Retention Value" dataDxfId="16" dataCellStyle="Percent">
      <calculatedColumnFormula>IF(F2&gt;69%, "GOOD", "POOR")</calculatedColumnFormula>
    </tableColumn>
    <tableColumn id="9" xr3:uid="{2D1C7A45-6CF4-4F66-812C-40A50CEEFE3C}" name="Engine Size" dataDxfId="15"/>
    <tableColumn id="10" xr3:uid="{6F868495-C5F3-4EB0-A931-7DB5EE263B04}" name="Horsepower" dataDxfId="14"/>
    <tableColumn id="11" xr3:uid="{21D8283C-331B-4FBC-ADCB-511EC8FEEA5B}" name="HP Level" dataDxfId="13">
      <calculatedColumnFormula array="1">_xlfn.IFS(I2&gt;299,"High HP",I2&gt;99,"Medium HP",I2&lt;100,"Low HP")</calculatedColumnFormula>
    </tableColumn>
    <tableColumn id="3" xr3:uid="{D8DD2294-3DBB-4222-BDE1-25B41E8C6E23}" name="Vehicle_type" dataDxfId="12"/>
    <tableColumn id="17" xr3:uid="{41974CDD-17C2-4811-8CA1-4FE62EF36874}" name="Fuel Efficiency" dataDxfId="11"/>
    <tableColumn id="19" xr3:uid="{FF974689-EC10-4BD7-931E-F6D2FC8A04BB}" name="Power Perf Factor" dataDxfId="10"/>
    <tableColumn id="16" xr3:uid="{A47D6D7B-55BF-4939-8425-7A7DC0E408AE}" name="Fuel Capacity" dataDxfId="9"/>
    <tableColumn id="12" xr3:uid="{59E0B2CA-E73A-4CDD-A62F-F1A4C75E90F7}" name="Wheelbase" dataDxfId="8"/>
    <tableColumn id="13" xr3:uid="{1318511A-327E-4603-9CFA-8A67BC21BEB8}" name="Width" dataDxfId="7"/>
    <tableColumn id="14" xr3:uid="{B48108FE-8EF4-43AB-ACEA-F7B30A9D3C55}" name="Length" dataDxfId="6"/>
    <tableColumn id="15" xr3:uid="{1C70CD07-6AE4-4D29-95C6-1D02DF8772F3}" name="Curb Weight" dataDxfId="5"/>
    <tableColumn id="18" xr3:uid="{801588FA-173B-403F-BAF7-D1F66FFF62EA}" name="Latest Launch" dataDxfId="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7" headerRowCellStyle="60% - Accent1">
  <autoFilter ref="A1:S156" xr:uid="{142A1155-8F99-4580-8274-3FFCD265F860}"/>
  <tableColumns count="19">
    <tableColumn id="2" xr3:uid="{0090DD31-AAEF-418B-A6D5-5A47F973884A}" name="Manufacturer" dataDxfId="46" dataCellStyle="60% - Accent2"/>
    <tableColumn id="1" xr3:uid="{1D457C4B-D2B8-4760-9FBD-20980339C812}" name="Model" dataDxfId="45" dataCellStyle="60% - Accent6"/>
    <tableColumn id="4" xr3:uid="{8522711B-6353-4D72-9921-4036DEB24699}" name="Unit Sales" dataDxfId="44"/>
    <tableColumn id="5" xr3:uid="{3F2EFF05-CEC1-43C4-8457-EC0A04BFE37D}" name="Price" dataDxfId="43"/>
    <tableColumn id="6" xr3:uid="{D0C7E9A3-6A78-4834-995F-71A07F7E5FEC}" name="Year Resale Value" dataDxfId="42"/>
    <tableColumn id="7" xr3:uid="{2892AE5C-2583-41F9-9297-9EA4C2895B5F}" name="Retention %" dataDxfId="41" dataCellStyle="Percent">
      <calculatedColumnFormula>SUM(E2/D2)</calculatedColumnFormula>
    </tableColumn>
    <tableColumn id="8" xr3:uid="{40A7E790-705B-474C-BD5E-B93CFDEAAD37}" name="Retention Value" dataDxfId="40" dataCellStyle="Percent">
      <calculatedColumnFormula>IF(F2&gt;69%, "GOOD", "POOR")</calculatedColumnFormula>
    </tableColumn>
    <tableColumn id="9" xr3:uid="{9FD1D782-0EB9-4AC8-9FB6-1F5437BC6100}" name="Engine Size" dataDxfId="39"/>
    <tableColumn id="10" xr3:uid="{97F7DE8D-9589-426B-AA4F-2E3F8BB7A81B}" name="Horsepower" dataDxfId="38"/>
    <tableColumn id="11" xr3:uid="{4CB9C68E-A6F1-497A-9877-E41495059145}" name="HP Level" dataDxfId="37">
      <calculatedColumnFormula array="1">_xlfn.IFS(I2&gt;299,"High HP",I2&gt;99,"Medium HP",I2&lt;100,"Low HP")</calculatedColumnFormula>
    </tableColumn>
    <tableColumn id="3" xr3:uid="{3733B2DD-D65D-439A-9EC2-28F65DC369D7}" name="Vehicle_type" dataDxfId="36"/>
    <tableColumn id="17" xr3:uid="{5136D0F0-2F8F-4D70-995F-CE39B1996127}" name="Fuel Efficiency" dataDxfId="35"/>
    <tableColumn id="19" xr3:uid="{5F133F36-F1C6-453A-A10C-A9917A623804}" name="Power Perf Factor" dataDxfId="34"/>
    <tableColumn id="12" xr3:uid="{6E551230-1170-40DA-8649-BDDA922271D8}" name="Wheelbase" dataDxfId="33"/>
    <tableColumn id="13" xr3:uid="{53A36FF3-E823-43B4-958B-9E02EC2B56F7}" name="Width" dataDxfId="32"/>
    <tableColumn id="14" xr3:uid="{0728B768-EB40-4E54-9F8B-8FC310D3272C}" name="Length" dataDxfId="31"/>
    <tableColumn id="15" xr3:uid="{2264EB11-0818-4B2A-A027-42B066FA9869}" name="Curb Weight" dataDxfId="30"/>
    <tableColumn id="16" xr3:uid="{58B24934-BE7E-4FBD-9F96-CEF0725C6117}" name="Fuel Capacity" dataDxfId="29"/>
    <tableColumn id="18" xr3:uid="{00FF364F-DDBE-4E2C-8F3E-DBDA321FA22A}" name="Latest Launch" dataDxfId="28"/>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abSelected="1" topLeftCell="A159" zoomScaleNormal="100" workbookViewId="0">
      <selection activeCell="K181" sqref="K18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3.1640625" hidden="1" customWidth="1"/>
    <col min="15" max="15" width="11" hidden="1" customWidth="1"/>
    <col min="16" max="16" width="6.5" hidden="1" customWidth="1"/>
    <col min="17" max="17" width="7" hidden="1" customWidth="1"/>
    <col min="18" max="18" width="12.33203125" hidden="1" customWidth="1"/>
    <col min="19" max="19" width="13.5" hidden="1" customWidth="1"/>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2">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2">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2">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2">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2">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2">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 priority="1" operator="containsText" text="POOR">
      <formula>NOT(ISERROR(SEARCH("POOR",G2)))</formula>
    </cfRule>
    <cfRule type="containsText" dxfId="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1" customWidth="1"/>
    <col min="15" max="15" width="6.5" customWidth="1"/>
    <col min="16" max="16" width="7" customWidth="1"/>
    <col min="17" max="17" width="12.33203125" customWidth="1"/>
    <col min="18" max="18" width="13.1640625" customWidth="1"/>
    <col min="19" max="19" width="13.5" customWidth="1"/>
    <col min="20" max="22" width="8.83203125"/>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 priority="3" operator="containsText" text="POOR">
      <formula>NOT(ISERROR(SEARCH("POOR",G2)))</formula>
    </cfRule>
    <cfRule type="containsText" dxfId="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baseColWidth="10" defaultColWidth="8.83203125" defaultRowHeight="15" x14ac:dyDescent="0.2"/>
  <cols>
    <col min="1" max="1" width="12.1640625" bestFit="1" customWidth="1"/>
    <col min="2" max="2" width="23.6640625" style="17" bestFit="1" customWidth="1"/>
    <col min="3" max="3" width="13.6640625" style="17" bestFit="1" customWidth="1"/>
    <col min="4" max="4" width="23.8320312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2">
      <c r="A3" s="15" t="s">
        <v>205</v>
      </c>
      <c r="B3" s="17" t="s">
        <v>206</v>
      </c>
      <c r="C3" s="17" t="s">
        <v>207</v>
      </c>
    </row>
    <row r="4" spans="1:3" x14ac:dyDescent="0.2">
      <c r="A4" s="16" t="s">
        <v>19</v>
      </c>
      <c r="B4" s="17">
        <v>21986.666666666668</v>
      </c>
      <c r="C4" s="17">
        <v>30633.333333333332</v>
      </c>
    </row>
    <row r="5" spans="1:3" x14ac:dyDescent="0.2">
      <c r="A5" s="16" t="s">
        <v>24</v>
      </c>
      <c r="B5" s="17">
        <v>28270</v>
      </c>
      <c r="C5" s="17">
        <v>39980</v>
      </c>
    </row>
    <row r="6" spans="1:3" x14ac:dyDescent="0.2">
      <c r="A6" s="16" t="s">
        <v>28</v>
      </c>
      <c r="B6" s="17">
        <v>29766.666666666668</v>
      </c>
      <c r="C6" s="17">
        <v>33096.666666666664</v>
      </c>
    </row>
    <row r="7" spans="1:3" x14ac:dyDescent="0.2">
      <c r="A7" s="16" t="s">
        <v>32</v>
      </c>
      <c r="B7" s="17">
        <v>14941.25</v>
      </c>
      <c r="C7" s="17">
        <v>26781.25</v>
      </c>
    </row>
    <row r="8" spans="1:3" x14ac:dyDescent="0.2">
      <c r="A8" s="16" t="s">
        <v>208</v>
      </c>
      <c r="B8" s="17">
        <v>23064.23076923077</v>
      </c>
      <c r="C8" s="17">
        <v>32173.461538461539</v>
      </c>
    </row>
    <row r="9" spans="1:3" x14ac:dyDescent="0.2">
      <c r="B9"/>
      <c r="C9"/>
    </row>
    <row r="10" spans="1:3" x14ac:dyDescent="0.2">
      <c r="B10"/>
      <c r="C10"/>
    </row>
    <row r="11" spans="1:3" x14ac:dyDescent="0.2">
      <c r="B11"/>
      <c r="C11"/>
    </row>
    <row r="12" spans="1:3" x14ac:dyDescent="0.2">
      <c r="B12"/>
      <c r="C12"/>
    </row>
    <row r="13" spans="1:3" x14ac:dyDescent="0.2">
      <c r="B13"/>
      <c r="C13"/>
    </row>
    <row r="14" spans="1:3" x14ac:dyDescent="0.2">
      <c r="B14"/>
      <c r="C14"/>
    </row>
    <row r="15" spans="1:3" x14ac:dyDescent="0.2">
      <c r="B15"/>
      <c r="C15"/>
    </row>
    <row r="16" spans="1:3" x14ac:dyDescent="0.2">
      <c r="B16"/>
      <c r="C16"/>
    </row>
    <row r="17" spans="2:3" x14ac:dyDescent="0.2">
      <c r="B17"/>
      <c r="C17"/>
    </row>
    <row r="18" spans="2:3" x14ac:dyDescent="0.2">
      <c r="B18"/>
      <c r="C18"/>
    </row>
    <row r="19" spans="2:3" x14ac:dyDescent="0.2">
      <c r="B19"/>
      <c r="C19"/>
    </row>
    <row r="20" spans="2:3" x14ac:dyDescent="0.2">
      <c r="B20"/>
      <c r="C20"/>
    </row>
    <row r="21" spans="2:3" x14ac:dyDescent="0.2">
      <c r="B21"/>
      <c r="C21"/>
    </row>
    <row r="22" spans="2:3" x14ac:dyDescent="0.2">
      <c r="B22"/>
      <c r="C22"/>
    </row>
    <row r="23" spans="2:3" x14ac:dyDescent="0.2">
      <c r="B23"/>
      <c r="C23"/>
    </row>
    <row r="24" spans="2:3" x14ac:dyDescent="0.2">
      <c r="B24"/>
      <c r="C24"/>
    </row>
    <row r="25" spans="2:3" x14ac:dyDescent="0.2">
      <c r="B25"/>
      <c r="C25"/>
    </row>
    <row r="26" spans="2:3" x14ac:dyDescent="0.2">
      <c r="B26"/>
      <c r="C26"/>
    </row>
    <row r="27" spans="2:3" x14ac:dyDescent="0.2">
      <c r="B27"/>
      <c r="C27"/>
    </row>
    <row r="28" spans="2:3" x14ac:dyDescent="0.2">
      <c r="B28"/>
      <c r="C28"/>
    </row>
    <row r="29" spans="2:3" x14ac:dyDescent="0.2">
      <c r="B29"/>
      <c r="C29"/>
    </row>
    <row r="30" spans="2:3" x14ac:dyDescent="0.2">
      <c r="B30"/>
      <c r="C30"/>
    </row>
    <row r="31" spans="2:3" x14ac:dyDescent="0.2">
      <c r="B31"/>
      <c r="C31"/>
    </row>
    <row r="32" spans="2:3"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DashColumn, Pie, Sunburst Chart</vt:lpstr>
      <vt:lpstr>Car_sales</vt:lpstr>
      <vt:lpstr>Bar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Brianca Hernawan</cp:lastModifiedBy>
  <cp:revision/>
  <dcterms:created xsi:type="dcterms:W3CDTF">2020-05-21T14:49:04Z</dcterms:created>
  <dcterms:modified xsi:type="dcterms:W3CDTF">2026-03-16T12:48:13Z</dcterms:modified>
  <cp:category/>
  <cp:contentStatus/>
</cp:coreProperties>
</file>