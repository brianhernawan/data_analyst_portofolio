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ve Model" sheetId="1" r:id="rId5"/>
    <sheet state="visible" name="Data Source" sheetId="2" r:id="rId6"/>
  </sheets>
  <definedNames>
    <definedName name="ATT">'Data Source'!$K$2:$K$21</definedName>
    <definedName name="DEF">'Data Source'!$L$2:$L$21</definedName>
    <definedName name="teams">'Data Source'!$B$2:$B$21</definedName>
    <definedName name="Avg">'Data Source'!$G$24</definedName>
  </definedNames>
  <calcPr/>
</workbook>
</file>

<file path=xl/sharedStrings.xml><?xml version="1.0" encoding="utf-8"?>
<sst xmlns="http://schemas.openxmlformats.org/spreadsheetml/2006/main" count="48" uniqueCount="45">
  <si>
    <t>Home</t>
  </si>
  <si>
    <t>Away</t>
  </si>
  <si>
    <t>Win</t>
  </si>
  <si>
    <t>Draw</t>
  </si>
  <si>
    <t>Choose the match here</t>
  </si>
  <si>
    <t>Frosinone</t>
  </si>
  <si>
    <t>Inter</t>
  </si>
  <si>
    <t>Probability</t>
  </si>
  <si>
    <t>Expected goals</t>
  </si>
  <si>
    <t>Betting Scores</t>
  </si>
  <si>
    <t>Probability of scoring x amount of goals</t>
  </si>
  <si>
    <t>Poisson Distribution</t>
  </si>
  <si>
    <t>Goals</t>
  </si>
  <si>
    <t>Probabilis of each goals combination</t>
  </si>
  <si>
    <t>Position</t>
  </si>
  <si>
    <t>Team</t>
  </si>
  <si>
    <t>Games Played</t>
  </si>
  <si>
    <t>Wins</t>
  </si>
  <si>
    <t>Draws</t>
  </si>
  <si>
    <t>Losses</t>
  </si>
  <si>
    <t>Goals For</t>
  </si>
  <si>
    <t>Goals Against</t>
  </si>
  <si>
    <t>Goal Difference</t>
  </si>
  <si>
    <t>Points</t>
  </si>
  <si>
    <t>Attack Rating</t>
  </si>
  <si>
    <t>Defense Rating</t>
  </si>
  <si>
    <t>AC Milan</t>
  </si>
  <si>
    <t>Juventus</t>
  </si>
  <si>
    <t>Bologna</t>
  </si>
  <si>
    <t>Roma</t>
  </si>
  <si>
    <t>Atalanta</t>
  </si>
  <si>
    <t>Lazio</t>
  </si>
  <si>
    <t>Florentina</t>
  </si>
  <si>
    <t>Napoli</t>
  </si>
  <si>
    <t>Torino</t>
  </si>
  <si>
    <t>Monza</t>
  </si>
  <si>
    <t>Genoa</t>
  </si>
  <si>
    <t>Lecce</t>
  </si>
  <si>
    <t>Verona</t>
  </si>
  <si>
    <t>Cagliari</t>
  </si>
  <si>
    <t>Empoli</t>
  </si>
  <si>
    <t>Udinese</t>
  </si>
  <si>
    <t>Sassuolo</t>
  </si>
  <si>
    <t>Salernitana</t>
  </si>
  <si>
    <t>Average Goals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</si>
</sst>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Helvetica Neue"/>
    </font>
    <font>
      <sz val="14.0"/>
      <color theme="1"/>
      <name val="Helvetica Neue"/>
    </font>
    <font>
      <sz val="12.0"/>
      <color theme="1"/>
      <name val="Helvetica Neue"/>
    </font>
    <font>
      <b/>
      <color theme="1"/>
      <name val="Helvetica Neue"/>
    </font>
    <font>
      <b/>
      <sz val="16.0"/>
      <color theme="1"/>
      <name val="Helvetica Neue"/>
    </font>
    <font/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0" fillId="0" fontId="1" numFmtId="0" xfId="0" applyFont="1"/>
    <xf borderId="4" fillId="0" fontId="3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10" xfId="0" applyFont="1" applyNumberFormat="1"/>
    <xf borderId="5" fillId="0" fontId="1" numFmtId="10" xfId="0" applyBorder="1" applyFont="1" applyNumberFormat="1"/>
    <xf borderId="6" fillId="0" fontId="3" numFmtId="0" xfId="0" applyAlignment="1" applyBorder="1" applyFont="1">
      <alignment horizontal="center" readingOrder="0"/>
    </xf>
    <xf borderId="7" fillId="0" fontId="4" numFmtId="2" xfId="0" applyAlignment="1" applyBorder="1" applyFont="1" applyNumberFormat="1">
      <alignment horizontal="center"/>
    </xf>
    <xf borderId="8" fillId="0" fontId="4" numFmtId="2" xfId="0" applyAlignment="1" applyBorder="1" applyFont="1" applyNumberFormat="1">
      <alignment horizontal="center"/>
    </xf>
    <xf borderId="6" fillId="0" fontId="1" numFmtId="0" xfId="0" applyAlignment="1" applyBorder="1" applyFont="1">
      <alignment readingOrder="0"/>
    </xf>
    <xf borderId="7" fillId="0" fontId="1" numFmtId="4" xfId="0" applyAlignment="1" applyBorder="1" applyFont="1" applyNumberFormat="1">
      <alignment readingOrder="0"/>
    </xf>
    <xf borderId="8" fillId="0" fontId="1" numFmtId="4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vertical="bottom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0" fillId="0" fontId="3" numFmtId="0" xfId="0" applyAlignment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/>
    </xf>
    <xf borderId="5" fillId="0" fontId="1" numFmtId="0" xfId="0" applyBorder="1" applyFont="1"/>
    <xf borderId="6" fillId="0" fontId="6" numFmtId="0" xfId="0" applyBorder="1" applyFont="1"/>
    <xf borderId="7" fillId="0" fontId="1" numFmtId="0" xfId="0" applyAlignment="1" applyBorder="1" applyFont="1">
      <alignment horizontal="left" readingOrder="0"/>
    </xf>
    <xf borderId="7" fillId="0" fontId="1" numFmtId="10" xfId="0" applyBorder="1" applyFont="1" applyNumberFormat="1"/>
    <xf borderId="8" fillId="0" fontId="1" numFmtId="10" xfId="0" applyBorder="1" applyFont="1" applyNumberFormat="1"/>
    <xf borderId="0" fillId="0" fontId="3" numFmtId="0" xfId="0" applyAlignment="1" applyFont="1">
      <alignment horizontal="center" readingOrder="0" shrinkToFit="0" vertical="center" wrapText="1"/>
    </xf>
    <xf borderId="1" fillId="0" fontId="1" numFmtId="9" xfId="0" applyBorder="1" applyFont="1" applyNumberFormat="1"/>
    <xf borderId="2" fillId="0" fontId="1" numFmtId="9" xfId="0" applyBorder="1" applyFont="1" applyNumberFormat="1"/>
    <xf borderId="3" fillId="0" fontId="1" numFmtId="9" xfId="0" applyBorder="1" applyFont="1" applyNumberFormat="1"/>
    <xf borderId="4" fillId="0" fontId="1" numFmtId="9" xfId="0" applyBorder="1" applyFont="1" applyNumberFormat="1"/>
    <xf borderId="0" fillId="0" fontId="1" numFmtId="9" xfId="0" applyFont="1" applyNumberFormat="1"/>
    <xf borderId="5" fillId="0" fontId="1" numFmtId="9" xfId="0" applyBorder="1" applyFont="1" applyNumberFormat="1"/>
    <xf borderId="6" fillId="0" fontId="1" numFmtId="9" xfId="0" applyBorder="1" applyFont="1" applyNumberFormat="1"/>
    <xf borderId="7" fillId="0" fontId="1" numFmtId="9" xfId="0" applyBorder="1" applyFont="1" applyNumberFormat="1"/>
    <xf borderId="8" fillId="0" fontId="1" numFmtId="9" xfId="0" applyBorder="1" applyFont="1" applyNumberFormat="1"/>
    <xf borderId="9" fillId="2" fontId="7" numFmtId="0" xfId="0" applyAlignment="1" applyBorder="1" applyFill="1" applyFont="1">
      <alignment horizontal="center" readingOrder="0"/>
    </xf>
    <xf borderId="9" fillId="3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7" numFmtId="0" xfId="0" applyFont="1"/>
    <xf borderId="0" fillId="0" fontId="8" numFmtId="0" xfId="0" applyFont="1"/>
    <xf borderId="0" fillId="0" fontId="7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6.13"/>
    <col customWidth="1" min="3" max="3" width="18.25"/>
    <col customWidth="1" min="5" max="5" width="15.63"/>
  </cols>
  <sheetData>
    <row r="1">
      <c r="A1" s="1"/>
      <c r="B1" s="2" t="s">
        <v>0</v>
      </c>
      <c r="C1" s="3" t="s">
        <v>1</v>
      </c>
      <c r="D1" s="4"/>
      <c r="E1" s="1"/>
      <c r="F1" s="2" t="s">
        <v>2</v>
      </c>
      <c r="G1" s="2" t="s">
        <v>2</v>
      </c>
      <c r="H1" s="3" t="s">
        <v>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7" t="s">
        <v>6</v>
      </c>
      <c r="D2" s="4"/>
      <c r="E2" s="8" t="s">
        <v>7</v>
      </c>
      <c r="F2" s="9">
        <f t="shared" ref="F2:G2" si="1">SUM(E9:E18)</f>
        <v>0.03193061075</v>
      </c>
      <c r="G2" s="9">
        <f t="shared" si="1"/>
        <v>0.8845582591</v>
      </c>
      <c r="H2" s="10">
        <f>1-(SUM(F2:G2))</f>
        <v>0.08351113017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 t="s">
        <v>8</v>
      </c>
      <c r="B3" s="12">
        <f t="array" ref="B3">XLOOKUP(B2,teams,ATT)*XLOOKUP(C2,teams,DEF)*Avg</f>
        <v>0.5165798105</v>
      </c>
      <c r="C3" s="13">
        <f t="array" ref="C3">XLOOKUP(C2,teams,ATT)*XLOOKUP(B2,teams,DEF)*Avg</f>
        <v>3.226568878</v>
      </c>
      <c r="D3" s="4"/>
      <c r="E3" s="14" t="s">
        <v>9</v>
      </c>
      <c r="F3" s="15">
        <f t="shared" ref="F3:H3" si="2">1/F2</f>
        <v>31.3179102</v>
      </c>
      <c r="G3" s="15">
        <f t="shared" si="2"/>
        <v>1.130507787</v>
      </c>
      <c r="H3" s="16">
        <f t="shared" si="2"/>
        <v>11.97445176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7" t="s">
        <v>10</v>
      </c>
      <c r="B6" s="18" t="s">
        <v>11</v>
      </c>
      <c r="C6" s="19"/>
      <c r="D6" s="19"/>
      <c r="E6" s="19"/>
      <c r="F6" s="2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1"/>
      <c r="B7" s="22" t="s">
        <v>12</v>
      </c>
      <c r="C7" s="22" t="str">
        <f t="shared" ref="C7:D7" si="3">concatenate(B2," ","Goals")</f>
        <v>Frosinone Goals</v>
      </c>
      <c r="D7" s="22" t="str">
        <f t="shared" si="3"/>
        <v>Inter Goals</v>
      </c>
      <c r="E7" s="22" t="str">
        <f t="shared" ref="E7:F7" si="4">concatenate(B2," ","Goals")</f>
        <v>Frosinone Goals</v>
      </c>
      <c r="F7" s="23" t="str">
        <f t="shared" si="4"/>
        <v>Inter Goals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1"/>
      <c r="B8" s="24">
        <v>0.0</v>
      </c>
      <c r="C8" s="9">
        <f t="shared" ref="C8:C18" si="5">_xlfn.POISSON.DIST(B8,$B$3,FALSE)</f>
        <v>0.5965574021</v>
      </c>
      <c r="D8" s="9">
        <f t="shared" ref="D8:D18" si="6">_xlfn.POISSON.DIST(B8,$C$3,FALSE)</f>
        <v>0.03969345852</v>
      </c>
      <c r="E8" s="4"/>
      <c r="F8" s="2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1"/>
      <c r="B9" s="24">
        <v>1.0</v>
      </c>
      <c r="C9" s="9">
        <f t="shared" si="5"/>
        <v>0.3081695097</v>
      </c>
      <c r="D9" s="9">
        <f t="shared" si="6"/>
        <v>0.1280736779</v>
      </c>
      <c r="E9" s="9">
        <f t="shared" ref="E9:E18" si="7">C9*sum($D$8:D8)</f>
        <v>0.01223231365</v>
      </c>
      <c r="F9" s="10">
        <f t="shared" ref="F9:F18" si="8">D9*sum($C$8:C8)</f>
        <v>0.07640330058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1"/>
      <c r="B10" s="24">
        <v>2.0</v>
      </c>
      <c r="C10" s="9">
        <f t="shared" si="5"/>
        <v>0.07959707347</v>
      </c>
      <c r="D10" s="9">
        <f t="shared" si="6"/>
        <v>0.2066192716</v>
      </c>
      <c r="E10" s="9">
        <f t="shared" si="7"/>
        <v>0.01335377309</v>
      </c>
      <c r="F10" s="10">
        <f t="shared" si="8"/>
        <v>0.1869340155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1"/>
      <c r="B11" s="24">
        <v>3.0</v>
      </c>
      <c r="C11" s="9">
        <f t="shared" si="5"/>
        <v>0.01370608038</v>
      </c>
      <c r="D11" s="9">
        <f t="shared" si="6"/>
        <v>0.2222237704</v>
      </c>
      <c r="E11" s="9">
        <f t="shared" si="7"/>
        <v>0.005131370201</v>
      </c>
      <c r="F11" s="10">
        <f t="shared" si="8"/>
        <v>0.2187401873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1"/>
      <c r="B12" s="24">
        <v>4.0</v>
      </c>
      <c r="C12" s="9">
        <f t="shared" si="5"/>
        <v>0.001770071101</v>
      </c>
      <c r="D12" s="9">
        <f t="shared" si="6"/>
        <v>0.1792550754</v>
      </c>
      <c r="E12" s="9">
        <f t="shared" si="7"/>
        <v>0.001056042435</v>
      </c>
      <c r="F12" s="10">
        <f t="shared" si="8"/>
        <v>0.1789019547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1"/>
      <c r="B13" s="24">
        <v>5.0</v>
      </c>
      <c r="C13" s="9">
        <f t="shared" si="5"/>
        <v>0.0001828765988</v>
      </c>
      <c r="D13" s="9">
        <f t="shared" si="6"/>
        <v>0.1156757695</v>
      </c>
      <c r="E13" s="9">
        <f t="shared" si="7"/>
        <v>0.0001418875987</v>
      </c>
      <c r="F13" s="10">
        <f t="shared" si="8"/>
        <v>0.1156526501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1"/>
      <c r="B14" s="24">
        <v>6.0</v>
      </c>
      <c r="C14" s="9">
        <f t="shared" si="5"/>
        <v>0.00001574505979</v>
      </c>
      <c r="D14" s="9">
        <f t="shared" si="6"/>
        <v>0.06220597294</v>
      </c>
      <c r="E14" s="9">
        <f t="shared" si="7"/>
        <v>0.00001403736672</v>
      </c>
      <c r="F14" s="10">
        <f t="shared" si="8"/>
        <v>0.06220491627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1"/>
      <c r="B15" s="24">
        <v>7.0</v>
      </c>
      <c r="C15" s="9">
        <f t="shared" si="5"/>
        <v>0.00000116194</v>
      </c>
      <c r="D15" s="9">
        <f t="shared" si="6"/>
        <v>0.02867312233</v>
      </c>
      <c r="E15" s="9">
        <f t="shared" si="7"/>
        <v>0.000001108196785</v>
      </c>
      <c r="F15" s="10">
        <f t="shared" si="8"/>
        <v>0.02867308673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1"/>
      <c r="B16" s="24">
        <v>8.0</v>
      </c>
      <c r="C16" s="9">
        <f t="shared" si="5"/>
        <v>0.00000007502934315</v>
      </c>
      <c r="D16" s="9">
        <f t="shared" si="6"/>
        <v>0.01156447552</v>
      </c>
      <c r="E16" s="9">
        <f t="shared" si="7"/>
        <v>0.00000007371033619</v>
      </c>
      <c r="F16" s="10">
        <f t="shared" si="8"/>
        <v>0.0115644746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1"/>
      <c r="B17" s="24">
        <v>9.0</v>
      </c>
      <c r="C17" s="9">
        <f t="shared" si="5"/>
        <v>0.000000004306515985</v>
      </c>
      <c r="D17" s="9">
        <f t="shared" si="6"/>
        <v>0.004145952976</v>
      </c>
      <c r="E17" s="9">
        <f t="shared" si="7"/>
        <v>0.000000004280610543</v>
      </c>
      <c r="F17" s="10">
        <f t="shared" si="8"/>
        <v>0.004145952957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/>
      <c r="B18" s="27">
        <v>10.0</v>
      </c>
      <c r="C18" s="28">
        <f t="shared" si="5"/>
        <v>0.0000000002224659211</v>
      </c>
      <c r="D18" s="28">
        <f t="shared" si="6"/>
        <v>0.001337720284</v>
      </c>
      <c r="E18" s="28">
        <f t="shared" si="7"/>
        <v>0.0000000002220500316</v>
      </c>
      <c r="F18" s="29">
        <f t="shared" si="8"/>
        <v>0.001337720284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0" t="s">
        <v>13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B22" s="4"/>
      <c r="C22" s="4"/>
      <c r="D22" s="24">
        <v>0.0</v>
      </c>
      <c r="E22" s="24">
        <v>1.0</v>
      </c>
      <c r="F22" s="24">
        <v>2.0</v>
      </c>
      <c r="G22" s="24">
        <v>3.0</v>
      </c>
      <c r="H22" s="24">
        <v>4.0</v>
      </c>
      <c r="I22" s="24">
        <v>5.0</v>
      </c>
      <c r="J22" s="24">
        <v>6.0</v>
      </c>
      <c r="K22" s="24">
        <v>7.0</v>
      </c>
      <c r="L22" s="24">
        <v>8.0</v>
      </c>
      <c r="M22" s="24">
        <v>9.0</v>
      </c>
      <c r="N22" s="24">
        <v>10.0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B23" s="4"/>
      <c r="C23" s="24">
        <v>0.0</v>
      </c>
      <c r="D23" s="31">
        <f t="shared" ref="D23:N23" si="9">XLOOKUP(D$22,$B$8:$B$18,$C$8:$C$18)*XLOOKUP($C23,$B$8:$B$18,$D$8:$D$18)</f>
        <v>0.0236794265</v>
      </c>
      <c r="E23" s="32">
        <f t="shared" si="9"/>
        <v>0.01223231365</v>
      </c>
      <c r="F23" s="32">
        <f t="shared" si="9"/>
        <v>0.003159483135</v>
      </c>
      <c r="G23" s="32">
        <f t="shared" si="9"/>
        <v>0.000544041733</v>
      </c>
      <c r="H23" s="32">
        <f t="shared" si="9"/>
        <v>0.00007026024383</v>
      </c>
      <c r="I23" s="32">
        <f t="shared" si="9"/>
        <v>0.000007259004689</v>
      </c>
      <c r="J23" s="32">
        <f t="shared" si="9"/>
        <v>0.0000006249758777</v>
      </c>
      <c r="K23" s="32">
        <f t="shared" si="9"/>
        <v>0.00000004612141721</v>
      </c>
      <c r="L23" s="32">
        <f t="shared" si="9"/>
        <v>0.00000000297817412</v>
      </c>
      <c r="M23" s="32">
        <f t="shared" si="9"/>
        <v>0.0000000001709405136</v>
      </c>
      <c r="N23" s="33">
        <f t="shared" si="9"/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B24" s="4"/>
      <c r="C24" s="24">
        <v>1.0</v>
      </c>
      <c r="D24" s="34">
        <f t="shared" ref="D24:N24" si="10">XLOOKUP(D$22,$B$8:$B$18,$C$8:$C$18)*XLOOKUP($C24,$B$8:$B$18,$D$8:$D$18)</f>
        <v>0.07640330058</v>
      </c>
      <c r="E24" s="35">
        <f t="shared" si="10"/>
        <v>0.03946840254</v>
      </c>
      <c r="F24" s="35">
        <f t="shared" si="10"/>
        <v>0.01019428995</v>
      </c>
      <c r="G24" s="35">
        <f t="shared" si="10"/>
        <v>0.001755388124</v>
      </c>
      <c r="H24" s="35">
        <f t="shared" si="10"/>
        <v>0.0002266995161</v>
      </c>
      <c r="I24" s="35">
        <f t="shared" si="10"/>
        <v>0.00002342167861</v>
      </c>
      <c r="J24" s="35">
        <f t="shared" si="10"/>
        <v>0.000002016527716</v>
      </c>
      <c r="K24" s="35">
        <f t="shared" si="10"/>
        <v>0.0000001488139294</v>
      </c>
      <c r="L24" s="35">
        <f t="shared" si="10"/>
        <v>0.000000009609283929</v>
      </c>
      <c r="M24" s="35">
        <f t="shared" si="10"/>
        <v>0.0000000005515513412</v>
      </c>
      <c r="N24" s="36">
        <f t="shared" si="10"/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B25" s="4"/>
      <c r="C25" s="24">
        <v>2.0</v>
      </c>
      <c r="D25" s="34">
        <f t="shared" ref="D25:N25" si="11">XLOOKUP(D$22,$B$8:$B$18,$C$8:$C$18)*XLOOKUP($C25,$B$8:$B$18,$D$8:$D$18)</f>
        <v>0.1232602559</v>
      </c>
      <c r="E25" s="35">
        <f t="shared" si="11"/>
        <v>0.06367375963</v>
      </c>
      <c r="F25" s="35">
        <f t="shared" si="11"/>
        <v>0.01644628934</v>
      </c>
      <c r="G25" s="35">
        <f t="shared" si="11"/>
        <v>0.002831940344</v>
      </c>
      <c r="H25" s="35">
        <f t="shared" si="11"/>
        <v>0.0003657308016</v>
      </c>
      <c r="I25" s="35">
        <f t="shared" si="11"/>
        <v>0.00003778582963</v>
      </c>
      <c r="J25" s="35">
        <f t="shared" si="11"/>
        <v>0.000003253232785</v>
      </c>
      <c r="K25" s="35">
        <f t="shared" si="11"/>
        <v>0.0000002400791965</v>
      </c>
      <c r="L25" s="35">
        <f t="shared" si="11"/>
        <v>0.00000001550250823</v>
      </c>
      <c r="M25" s="35">
        <f t="shared" si="11"/>
        <v>0.000000000889809196</v>
      </c>
      <c r="N25" s="36">
        <f t="shared" si="11"/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B26" s="4"/>
      <c r="C26" s="24">
        <v>3.0</v>
      </c>
      <c r="D26" s="34">
        <f t="shared" ref="D26:N26" si="12">XLOOKUP(D$22,$B$8:$B$18,$C$8:$C$18)*XLOOKUP($C26,$B$8:$B$18,$D$8:$D$18)</f>
        <v>0.1325692352</v>
      </c>
      <c r="E26" s="35">
        <f t="shared" si="12"/>
        <v>0.06848259038</v>
      </c>
      <c r="F26" s="35">
        <f t="shared" si="12"/>
        <v>0.01768836178</v>
      </c>
      <c r="G26" s="35">
        <f t="shared" si="12"/>
        <v>0.003045816859</v>
      </c>
      <c r="H26" s="35">
        <f t="shared" si="12"/>
        <v>0.000393351874</v>
      </c>
      <c r="I26" s="35">
        <f t="shared" si="12"/>
        <v>0.0000406395273</v>
      </c>
      <c r="J26" s="35">
        <f t="shared" si="12"/>
        <v>0.000003498926552</v>
      </c>
      <c r="K26" s="35">
        <f t="shared" si="12"/>
        <v>0.0000002582106879</v>
      </c>
      <c r="L26" s="35">
        <f t="shared" si="12"/>
        <v>0.00000001667330353</v>
      </c>
      <c r="M26" s="35">
        <f t="shared" si="12"/>
        <v>0.0000000009570102196</v>
      </c>
      <c r="N26" s="36">
        <f t="shared" si="12"/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B27" s="4"/>
      <c r="C27" s="24">
        <v>4.0</v>
      </c>
      <c r="D27" s="34">
        <f t="shared" ref="D27:N27" si="13">XLOOKUP(D$22,$B$8:$B$18,$C$8:$C$18)*XLOOKUP($C27,$B$8:$B$18,$D$8:$D$18)</f>
        <v>0.1069359421</v>
      </c>
      <c r="E27" s="35">
        <f t="shared" si="13"/>
        <v>0.0552409487</v>
      </c>
      <c r="F27" s="35">
        <f t="shared" si="13"/>
        <v>0.0142681794</v>
      </c>
      <c r="G27" s="35">
        <f t="shared" si="13"/>
        <v>0.002456884471</v>
      </c>
      <c r="H27" s="35">
        <f t="shared" si="13"/>
        <v>0.0003172942286</v>
      </c>
      <c r="I27" s="35">
        <f t="shared" si="13"/>
        <v>0.0000327815585</v>
      </c>
      <c r="J27" s="35">
        <f t="shared" si="13"/>
        <v>0.000002822381879</v>
      </c>
      <c r="K27" s="35">
        <f t="shared" si="13"/>
        <v>0.0000002082836423</v>
      </c>
      <c r="L27" s="35">
        <f t="shared" si="13"/>
        <v>0.00000001344939056</v>
      </c>
      <c r="M27" s="35">
        <f t="shared" si="13"/>
        <v>0.0000000007719648475</v>
      </c>
      <c r="N27" s="36">
        <f t="shared" si="13"/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B28" s="4"/>
      <c r="C28" s="24">
        <v>5.0</v>
      </c>
      <c r="D28" s="34">
        <f t="shared" ref="D28:N28" si="14">XLOOKUP(D$22,$B$8:$B$18,$C$8:$C$18)*XLOOKUP($C28,$B$8:$B$18,$D$8:$D$18)</f>
        <v>0.06900723652</v>
      </c>
      <c r="E28" s="35">
        <f t="shared" si="14"/>
        <v>0.03564774517</v>
      </c>
      <c r="F28" s="35">
        <f t="shared" si="14"/>
        <v>0.009207452721</v>
      </c>
      <c r="G28" s="35">
        <f t="shared" si="14"/>
        <v>0.001585461394</v>
      </c>
      <c r="H28" s="35">
        <f t="shared" si="14"/>
        <v>0.0002047543366</v>
      </c>
      <c r="I28" s="35">
        <f t="shared" si="14"/>
        <v>0.00002115439128</v>
      </c>
      <c r="J28" s="35">
        <f t="shared" si="14"/>
        <v>0.000001821321906</v>
      </c>
      <c r="K28" s="35">
        <f t="shared" si="14"/>
        <v>0.0000001344083036</v>
      </c>
      <c r="L28" s="35">
        <f t="shared" si="14"/>
        <v>0.000000008679077001</v>
      </c>
      <c r="M28" s="35">
        <f t="shared" si="14"/>
        <v>0.0000000004981595503</v>
      </c>
      <c r="N28" s="36">
        <f t="shared" si="14"/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B29" s="4"/>
      <c r="C29" s="24">
        <v>6.0</v>
      </c>
      <c r="D29" s="34">
        <f t="shared" ref="D29:N29" si="15">XLOOKUP(D$22,$B$8:$B$18,$C$8:$C$18)*XLOOKUP($C29,$B$8:$B$18,$D$8:$D$18)</f>
        <v>0.03710943361</v>
      </c>
      <c r="E29" s="35">
        <f t="shared" si="15"/>
        <v>0.01916998418</v>
      </c>
      <c r="F29" s="35">
        <f t="shared" si="15"/>
        <v>0.004951413399</v>
      </c>
      <c r="G29" s="35">
        <f t="shared" si="15"/>
        <v>0.000852600065</v>
      </c>
      <c r="H29" s="35">
        <f t="shared" si="15"/>
        <v>0.000110108995</v>
      </c>
      <c r="I29" s="35">
        <f t="shared" si="15"/>
        <v>0.00001137601675</v>
      </c>
      <c r="J29" s="35">
        <f t="shared" si="15"/>
        <v>0.0000009794367632</v>
      </c>
      <c r="K29" s="35">
        <f t="shared" si="15"/>
        <v>0.00000007227960822</v>
      </c>
      <c r="L29" s="35">
        <f t="shared" si="15"/>
        <v>0.00000000466727329</v>
      </c>
      <c r="M29" s="35">
        <f t="shared" si="15"/>
        <v>0.0000000002678910168</v>
      </c>
      <c r="N29" s="36">
        <f t="shared" si="15"/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B30" s="4"/>
      <c r="C30" s="24">
        <v>7.0</v>
      </c>
      <c r="D30" s="34">
        <f t="shared" ref="D30:N30" si="16">XLOOKUP(D$22,$B$8:$B$18,$C$8:$C$18)*XLOOKUP($C30,$B$8:$B$18,$D$8:$D$18)</f>
        <v>0.01710516337</v>
      </c>
      <c r="E30" s="35">
        <f t="shared" si="16"/>
        <v>0.00883618205</v>
      </c>
      <c r="F30" s="35">
        <f t="shared" si="16"/>
        <v>0.002282296625</v>
      </c>
      <c r="G30" s="35">
        <f t="shared" si="16"/>
        <v>0.0003929961193</v>
      </c>
      <c r="H30" s="35">
        <f t="shared" si="16"/>
        <v>0.0000507534652</v>
      </c>
      <c r="I30" s="35">
        <f t="shared" si="16"/>
        <v>0.000005243643087</v>
      </c>
      <c r="J30" s="35">
        <f t="shared" si="16"/>
        <v>0.0000004514600254</v>
      </c>
      <c r="K30" s="35">
        <f t="shared" si="16"/>
        <v>0.00000003331644777</v>
      </c>
      <c r="L30" s="35">
        <f t="shared" si="16"/>
        <v>0.000000002151325534</v>
      </c>
      <c r="M30" s="35">
        <f t="shared" si="16"/>
        <v>0.0000000001234812596</v>
      </c>
      <c r="N30" s="36">
        <f t="shared" si="16"/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B31" s="4"/>
      <c r="C31" s="24">
        <v>8.0</v>
      </c>
      <c r="D31" s="34">
        <f t="shared" ref="D31:N31" si="17">XLOOKUP(D$22,$B$8:$B$18,$C$8:$C$18)*XLOOKUP($C31,$B$8:$B$18,$D$8:$D$18)</f>
        <v>0.00689887347</v>
      </c>
      <c r="E31" s="35">
        <f t="shared" si="17"/>
        <v>0.00356381875</v>
      </c>
      <c r="F31" s="35">
        <f t="shared" si="17"/>
        <v>0.0009204984073</v>
      </c>
      <c r="G31" s="35">
        <f t="shared" si="17"/>
        <v>0.0001585036309</v>
      </c>
      <c r="H31" s="35">
        <f t="shared" si="17"/>
        <v>0.00002046994391</v>
      </c>
      <c r="I31" s="35">
        <f t="shared" si="17"/>
        <v>0.000002114871949</v>
      </c>
      <c r="J31" s="35">
        <f t="shared" si="17"/>
        <v>0.0000001820833584</v>
      </c>
      <c r="K31" s="35">
        <f t="shared" si="17"/>
        <v>0.00000001343722668</v>
      </c>
      <c r="L31" s="35">
        <f t="shared" si="17"/>
        <v>0.0000000008676750018</v>
      </c>
      <c r="M31" s="35">
        <f t="shared" si="17"/>
        <v>0</v>
      </c>
      <c r="N31" s="36">
        <f t="shared" si="17"/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B32" s="4"/>
      <c r="C32" s="24">
        <v>9.0</v>
      </c>
      <c r="D32" s="34">
        <f t="shared" ref="D32:N32" si="18">XLOOKUP(D$22,$B$8:$B$18,$C$8:$C$18)*XLOOKUP($C32,$B$8:$B$18,$D$8:$D$18)</f>
        <v>0.002473298937</v>
      </c>
      <c r="E32" s="35">
        <f t="shared" si="18"/>
        <v>0.001277656296</v>
      </c>
      <c r="F32" s="35">
        <f t="shared" si="18"/>
        <v>0.0003300057236</v>
      </c>
      <c r="G32" s="35">
        <f t="shared" si="18"/>
        <v>0.00005682476473</v>
      </c>
      <c r="H32" s="35">
        <f t="shared" si="18"/>
        <v>0.000007338631548</v>
      </c>
      <c r="I32" s="35">
        <f t="shared" si="18"/>
        <v>0.0000007581977789</v>
      </c>
      <c r="J32" s="35">
        <f t="shared" si="18"/>
        <v>0.00000006527827749</v>
      </c>
      <c r="K32" s="35">
        <f t="shared" si="18"/>
        <v>0.000000004817348602</v>
      </c>
      <c r="L32" s="35">
        <f t="shared" si="18"/>
        <v>0.0000000003110681285</v>
      </c>
      <c r="M32" s="35">
        <f t="shared" si="18"/>
        <v>0</v>
      </c>
      <c r="N32" s="36">
        <f t="shared" si="18"/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B33" s="4"/>
      <c r="C33" s="24">
        <v>10.0</v>
      </c>
      <c r="D33" s="37">
        <f t="shared" ref="D33:N33" si="19">XLOOKUP(D$22,$B$8:$B$18,$C$8:$C$18)*XLOOKUP($C33,$B$8:$B$18,$D$8:$D$18)</f>
        <v>0.0007980269374</v>
      </c>
      <c r="E33" s="38">
        <f t="shared" si="19"/>
        <v>0.0004122446041</v>
      </c>
      <c r="F33" s="38">
        <f t="shared" si="19"/>
        <v>0.0001064786197</v>
      </c>
      <c r="G33" s="38">
        <f t="shared" si="19"/>
        <v>0.00001833490173</v>
      </c>
      <c r="H33" s="38">
        <f t="shared" si="19"/>
        <v>0.000002367860016</v>
      </c>
      <c r="I33" s="38">
        <f t="shared" si="19"/>
        <v>0.0000002446377356</v>
      </c>
      <c r="J33" s="38">
        <f t="shared" si="19"/>
        <v>0.00000002106248585</v>
      </c>
      <c r="K33" s="38">
        <f t="shared" si="19"/>
        <v>0.000000001554350707</v>
      </c>
      <c r="L33" s="38">
        <f t="shared" si="19"/>
        <v>0.0000000001003682742</v>
      </c>
      <c r="M33" s="38">
        <f t="shared" si="19"/>
        <v>0</v>
      </c>
      <c r="N33" s="39">
        <f t="shared" si="19"/>
        <v>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3">
    <mergeCell ref="A6:A18"/>
    <mergeCell ref="B6:F6"/>
    <mergeCell ref="A21:A33"/>
  </mergeCells>
  <conditionalFormatting sqref="D23:N3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B2:C2">
      <formula1>teams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14</v>
      </c>
      <c r="B1" s="40" t="s">
        <v>15</v>
      </c>
      <c r="C1" s="40" t="s">
        <v>16</v>
      </c>
      <c r="D1" s="40" t="s">
        <v>17</v>
      </c>
      <c r="E1" s="40" t="s">
        <v>18</v>
      </c>
      <c r="F1" s="40" t="s">
        <v>19</v>
      </c>
      <c r="G1" s="40" t="s">
        <v>20</v>
      </c>
      <c r="H1" s="40" t="s">
        <v>21</v>
      </c>
      <c r="I1" s="40" t="s">
        <v>22</v>
      </c>
      <c r="J1" s="40" t="s">
        <v>23</v>
      </c>
      <c r="K1" s="41" t="s">
        <v>24</v>
      </c>
      <c r="L1" s="41" t="s">
        <v>25</v>
      </c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3">
        <v>1.0</v>
      </c>
      <c r="B2" s="43" t="s">
        <v>6</v>
      </c>
      <c r="C2" s="43">
        <v>35.0</v>
      </c>
      <c r="D2" s="43">
        <v>28.0</v>
      </c>
      <c r="E2" s="43">
        <v>5.0</v>
      </c>
      <c r="F2" s="43">
        <v>2.0</v>
      </c>
      <c r="G2" s="43">
        <v>81.0</v>
      </c>
      <c r="H2" s="43">
        <v>19.0</v>
      </c>
      <c r="I2" s="43">
        <v>62.0</v>
      </c>
      <c r="J2" s="44">
        <v>89.0</v>
      </c>
      <c r="K2" s="45">
        <f t="shared" ref="K2:K21" si="1">(G2/C2)/$G$24</f>
        <v>1.792538265</v>
      </c>
      <c r="L2" s="45">
        <f t="shared" ref="L2:L21" si="2">(H2/C2)/$G$24</f>
        <v>0.4204719388</v>
      </c>
    </row>
    <row r="3">
      <c r="A3" s="43">
        <v>2.0</v>
      </c>
      <c r="B3" s="43" t="s">
        <v>26</v>
      </c>
      <c r="C3" s="43">
        <v>35.0</v>
      </c>
      <c r="D3" s="43">
        <v>21.0</v>
      </c>
      <c r="E3" s="43">
        <v>8.0</v>
      </c>
      <c r="F3" s="43">
        <v>6.0</v>
      </c>
      <c r="G3" s="43">
        <v>67.0</v>
      </c>
      <c r="H3" s="43">
        <v>42.0</v>
      </c>
      <c r="I3" s="43">
        <v>25.0</v>
      </c>
      <c r="J3" s="44">
        <v>71.0</v>
      </c>
      <c r="K3" s="45">
        <f t="shared" si="1"/>
        <v>1.482716837</v>
      </c>
      <c r="L3" s="45">
        <f t="shared" si="2"/>
        <v>0.9294642857</v>
      </c>
    </row>
    <row r="4">
      <c r="A4" s="43">
        <v>3.0</v>
      </c>
      <c r="B4" s="43" t="s">
        <v>27</v>
      </c>
      <c r="C4" s="43">
        <v>35.0</v>
      </c>
      <c r="D4" s="43">
        <v>18.0</v>
      </c>
      <c r="E4" s="43">
        <v>12.0</v>
      </c>
      <c r="F4" s="43">
        <v>5.0</v>
      </c>
      <c r="G4" s="43">
        <v>48.0</v>
      </c>
      <c r="H4" s="43">
        <v>27.0</v>
      </c>
      <c r="I4" s="43">
        <v>21.0</v>
      </c>
      <c r="J4" s="44">
        <v>66.0</v>
      </c>
      <c r="K4" s="45">
        <f t="shared" si="1"/>
        <v>1.062244898</v>
      </c>
      <c r="L4" s="45">
        <f t="shared" si="2"/>
        <v>0.5975127551</v>
      </c>
    </row>
    <row r="5">
      <c r="A5" s="43">
        <v>4.0</v>
      </c>
      <c r="B5" s="43" t="s">
        <v>28</v>
      </c>
      <c r="C5" s="43">
        <v>35.0</v>
      </c>
      <c r="D5" s="43">
        <v>17.0</v>
      </c>
      <c r="E5" s="43">
        <v>13.0</v>
      </c>
      <c r="F5" s="43">
        <v>5.0</v>
      </c>
      <c r="G5" s="43">
        <v>49.0</v>
      </c>
      <c r="H5" s="43">
        <v>27.0</v>
      </c>
      <c r="I5" s="43">
        <v>22.0</v>
      </c>
      <c r="J5" s="44">
        <v>64.0</v>
      </c>
      <c r="K5" s="45">
        <f t="shared" si="1"/>
        <v>1.084375</v>
      </c>
      <c r="L5" s="45">
        <f t="shared" si="2"/>
        <v>0.5975127551</v>
      </c>
    </row>
    <row r="6">
      <c r="A6" s="43">
        <v>5.0</v>
      </c>
      <c r="B6" s="43" t="s">
        <v>29</v>
      </c>
      <c r="C6" s="43">
        <v>35.0</v>
      </c>
      <c r="D6" s="43">
        <v>17.0</v>
      </c>
      <c r="E6" s="43">
        <v>9.0</v>
      </c>
      <c r="F6" s="43">
        <v>9.0</v>
      </c>
      <c r="G6" s="43">
        <v>62.0</v>
      </c>
      <c r="H6" s="43">
        <v>42.0</v>
      </c>
      <c r="I6" s="43">
        <v>20.0</v>
      </c>
      <c r="J6" s="44">
        <v>60.0</v>
      </c>
      <c r="K6" s="45">
        <f t="shared" si="1"/>
        <v>1.372066327</v>
      </c>
      <c r="L6" s="45">
        <f t="shared" si="2"/>
        <v>0.9294642857</v>
      </c>
    </row>
    <row r="7">
      <c r="A7" s="43">
        <v>6.0</v>
      </c>
      <c r="B7" s="43" t="s">
        <v>30</v>
      </c>
      <c r="C7" s="43">
        <v>33.0</v>
      </c>
      <c r="D7" s="43">
        <v>17.0</v>
      </c>
      <c r="E7" s="43">
        <v>6.0</v>
      </c>
      <c r="F7" s="43">
        <v>10.0</v>
      </c>
      <c r="G7" s="43">
        <v>61.0</v>
      </c>
      <c r="H7" s="43">
        <v>37.0</v>
      </c>
      <c r="I7" s="43">
        <v>24.0</v>
      </c>
      <c r="J7" s="44">
        <v>57.0</v>
      </c>
      <c r="K7" s="45">
        <f t="shared" si="1"/>
        <v>1.431750541</v>
      </c>
      <c r="L7" s="45">
        <f t="shared" si="2"/>
        <v>0.8684388528</v>
      </c>
    </row>
    <row r="8">
      <c r="A8" s="43">
        <v>7.0</v>
      </c>
      <c r="B8" s="43" t="s">
        <v>31</v>
      </c>
      <c r="C8" s="43">
        <v>35.0</v>
      </c>
      <c r="D8" s="43">
        <v>17.0</v>
      </c>
      <c r="E8" s="43">
        <v>5.0</v>
      </c>
      <c r="F8" s="43">
        <v>13.0</v>
      </c>
      <c r="G8" s="43">
        <v>45.0</v>
      </c>
      <c r="H8" s="43">
        <v>37.0</v>
      </c>
      <c r="I8" s="43">
        <v>8.0</v>
      </c>
      <c r="J8" s="44">
        <v>56.0</v>
      </c>
      <c r="K8" s="45">
        <f t="shared" si="1"/>
        <v>0.9958545918</v>
      </c>
      <c r="L8" s="45">
        <f t="shared" si="2"/>
        <v>0.8188137755</v>
      </c>
    </row>
    <row r="9">
      <c r="A9" s="43">
        <v>8.0</v>
      </c>
      <c r="B9" s="43" t="s">
        <v>32</v>
      </c>
      <c r="C9" s="43">
        <v>34.0</v>
      </c>
      <c r="D9" s="43">
        <v>14.0</v>
      </c>
      <c r="E9" s="43">
        <v>8.0</v>
      </c>
      <c r="F9" s="43">
        <v>12.0</v>
      </c>
      <c r="G9" s="43">
        <v>51.0</v>
      </c>
      <c r="H9" s="43">
        <v>39.0</v>
      </c>
      <c r="I9" s="43">
        <v>12.0</v>
      </c>
      <c r="J9" s="44">
        <v>50.0</v>
      </c>
      <c r="K9" s="45">
        <f t="shared" si="1"/>
        <v>1.161830357</v>
      </c>
      <c r="L9" s="45">
        <f t="shared" si="2"/>
        <v>0.8884585084</v>
      </c>
    </row>
    <row r="10">
      <c r="A10" s="43">
        <v>9.0</v>
      </c>
      <c r="B10" s="43" t="s">
        <v>33</v>
      </c>
      <c r="C10" s="43">
        <v>34.0</v>
      </c>
      <c r="D10" s="43">
        <v>13.0</v>
      </c>
      <c r="E10" s="43">
        <v>11.0</v>
      </c>
      <c r="F10" s="43">
        <v>10.0</v>
      </c>
      <c r="G10" s="43">
        <v>52.0</v>
      </c>
      <c r="H10" s="43">
        <v>43.0</v>
      </c>
      <c r="I10" s="43">
        <v>9.0</v>
      </c>
      <c r="J10" s="44">
        <v>50.0</v>
      </c>
      <c r="K10" s="45">
        <f t="shared" si="1"/>
        <v>1.184611345</v>
      </c>
      <c r="L10" s="45">
        <f t="shared" si="2"/>
        <v>0.979582458</v>
      </c>
    </row>
    <row r="11">
      <c r="A11" s="43">
        <v>10.0</v>
      </c>
      <c r="B11" s="43" t="s">
        <v>34</v>
      </c>
      <c r="C11" s="43">
        <v>35.0</v>
      </c>
      <c r="D11" s="43">
        <v>11.0</v>
      </c>
      <c r="E11" s="43">
        <v>14.0</v>
      </c>
      <c r="F11" s="43">
        <v>10.0</v>
      </c>
      <c r="G11" s="43">
        <v>31.0</v>
      </c>
      <c r="H11" s="43">
        <v>31.0</v>
      </c>
      <c r="I11" s="43">
        <v>0.0</v>
      </c>
      <c r="J11" s="44">
        <v>47.0</v>
      </c>
      <c r="K11" s="45">
        <f t="shared" si="1"/>
        <v>0.6860331633</v>
      </c>
      <c r="L11" s="45">
        <f t="shared" si="2"/>
        <v>0.6860331633</v>
      </c>
    </row>
    <row r="12">
      <c r="A12" s="43">
        <v>11.0</v>
      </c>
      <c r="B12" s="43" t="s">
        <v>35</v>
      </c>
      <c r="C12" s="43">
        <v>35.0</v>
      </c>
      <c r="D12" s="43">
        <v>11.0</v>
      </c>
      <c r="E12" s="43">
        <v>12.0</v>
      </c>
      <c r="F12" s="43">
        <v>12.0</v>
      </c>
      <c r="G12" s="43">
        <v>38.0</v>
      </c>
      <c r="H12" s="43">
        <v>46.0</v>
      </c>
      <c r="I12" s="43">
        <v>-8.0</v>
      </c>
      <c r="J12" s="44">
        <v>45.0</v>
      </c>
      <c r="K12" s="45">
        <f t="shared" si="1"/>
        <v>0.8409438776</v>
      </c>
      <c r="L12" s="45">
        <f t="shared" si="2"/>
        <v>1.017984694</v>
      </c>
    </row>
    <row r="13">
      <c r="A13" s="43">
        <v>12.0</v>
      </c>
      <c r="B13" s="43" t="s">
        <v>36</v>
      </c>
      <c r="C13" s="43">
        <v>35.0</v>
      </c>
      <c r="D13" s="43">
        <v>10.0</v>
      </c>
      <c r="E13" s="43">
        <v>13.0</v>
      </c>
      <c r="F13" s="43">
        <v>12.0</v>
      </c>
      <c r="G13" s="43">
        <v>41.0</v>
      </c>
      <c r="H13" s="43">
        <v>43.0</v>
      </c>
      <c r="I13" s="43">
        <v>-2.0</v>
      </c>
      <c r="J13" s="44">
        <v>43.0</v>
      </c>
      <c r="K13" s="45">
        <f t="shared" si="1"/>
        <v>0.9073341837</v>
      </c>
      <c r="L13" s="45">
        <f t="shared" si="2"/>
        <v>0.9515943878</v>
      </c>
    </row>
    <row r="14">
      <c r="A14" s="43">
        <v>13.0</v>
      </c>
      <c r="B14" s="43" t="s">
        <v>37</v>
      </c>
      <c r="C14" s="43">
        <v>35.0</v>
      </c>
      <c r="D14" s="43">
        <v>8.0</v>
      </c>
      <c r="E14" s="43">
        <v>13.0</v>
      </c>
      <c r="F14" s="43">
        <v>14.0</v>
      </c>
      <c r="G14" s="43">
        <v>32.0</v>
      </c>
      <c r="H14" s="43">
        <v>50.0</v>
      </c>
      <c r="I14" s="43">
        <v>-18.0</v>
      </c>
      <c r="J14" s="44">
        <v>37.0</v>
      </c>
      <c r="K14" s="45">
        <f t="shared" si="1"/>
        <v>0.7081632653</v>
      </c>
      <c r="L14" s="45">
        <f t="shared" si="2"/>
        <v>1.106505102</v>
      </c>
    </row>
    <row r="15">
      <c r="A15" s="43">
        <v>14.0</v>
      </c>
      <c r="B15" s="43" t="s">
        <v>38</v>
      </c>
      <c r="C15" s="43">
        <v>35.0</v>
      </c>
      <c r="D15" s="43">
        <v>8.0</v>
      </c>
      <c r="E15" s="43">
        <v>10.0</v>
      </c>
      <c r="F15" s="43">
        <v>17.0</v>
      </c>
      <c r="G15" s="43">
        <v>33.0</v>
      </c>
      <c r="H15" s="43">
        <v>46.0</v>
      </c>
      <c r="I15" s="43">
        <v>-13.0</v>
      </c>
      <c r="J15" s="44">
        <v>34.0</v>
      </c>
      <c r="K15" s="45">
        <f t="shared" si="1"/>
        <v>0.7302933673</v>
      </c>
      <c r="L15" s="45">
        <f t="shared" si="2"/>
        <v>1.017984694</v>
      </c>
    </row>
    <row r="16">
      <c r="A16" s="43">
        <v>15.0</v>
      </c>
      <c r="B16" s="43" t="s">
        <v>39</v>
      </c>
      <c r="C16" s="43">
        <v>35.0</v>
      </c>
      <c r="D16" s="43">
        <v>7.0</v>
      </c>
      <c r="E16" s="43">
        <v>12.0</v>
      </c>
      <c r="F16" s="43">
        <v>16.0</v>
      </c>
      <c r="G16" s="43">
        <v>37.0</v>
      </c>
      <c r="H16" s="43">
        <v>60.0</v>
      </c>
      <c r="I16" s="43">
        <v>-23.0</v>
      </c>
      <c r="J16" s="44">
        <v>33.0</v>
      </c>
      <c r="K16" s="45">
        <f t="shared" si="1"/>
        <v>0.8188137755</v>
      </c>
      <c r="L16" s="45">
        <f t="shared" si="2"/>
        <v>1.327806122</v>
      </c>
    </row>
    <row r="17">
      <c r="A17" s="43">
        <v>16.0</v>
      </c>
      <c r="B17" s="43" t="s">
        <v>5</v>
      </c>
      <c r="C17" s="43">
        <v>35.0</v>
      </c>
      <c r="D17" s="43">
        <v>7.0</v>
      </c>
      <c r="E17" s="43">
        <v>11.0</v>
      </c>
      <c r="F17" s="43">
        <v>17.0</v>
      </c>
      <c r="G17" s="43">
        <v>43.0</v>
      </c>
      <c r="H17" s="43">
        <v>63.0</v>
      </c>
      <c r="I17" s="43">
        <v>-20.0</v>
      </c>
      <c r="J17" s="44">
        <v>32.0</v>
      </c>
      <c r="K17" s="45">
        <f t="shared" si="1"/>
        <v>0.9515943878</v>
      </c>
      <c r="L17" s="45">
        <f t="shared" si="2"/>
        <v>1.394196429</v>
      </c>
    </row>
    <row r="18">
      <c r="A18" s="43">
        <v>17.0</v>
      </c>
      <c r="B18" s="43" t="s">
        <v>40</v>
      </c>
      <c r="C18" s="43">
        <v>35.0</v>
      </c>
      <c r="D18" s="43">
        <v>8.0</v>
      </c>
      <c r="E18" s="43">
        <v>8.0</v>
      </c>
      <c r="F18" s="43">
        <v>19.0</v>
      </c>
      <c r="G18" s="43">
        <v>26.0</v>
      </c>
      <c r="H18" s="43">
        <v>50.0</v>
      </c>
      <c r="I18" s="43">
        <v>-24.0</v>
      </c>
      <c r="J18" s="44">
        <v>32.0</v>
      </c>
      <c r="K18" s="45">
        <f t="shared" si="1"/>
        <v>0.5753826531</v>
      </c>
      <c r="L18" s="45">
        <f t="shared" si="2"/>
        <v>1.106505102</v>
      </c>
    </row>
    <row r="19">
      <c r="A19" s="43">
        <v>18.0</v>
      </c>
      <c r="B19" s="43" t="s">
        <v>41</v>
      </c>
      <c r="C19" s="43">
        <v>34.0</v>
      </c>
      <c r="D19" s="43">
        <v>4.0</v>
      </c>
      <c r="E19" s="43">
        <v>17.0</v>
      </c>
      <c r="F19" s="43">
        <v>13.0</v>
      </c>
      <c r="G19" s="43">
        <v>32.0</v>
      </c>
      <c r="H19" s="43">
        <v>51.0</v>
      </c>
      <c r="I19" s="43">
        <v>-19.0</v>
      </c>
      <c r="J19" s="44">
        <v>29.0</v>
      </c>
      <c r="K19" s="45">
        <f t="shared" si="1"/>
        <v>0.7289915966</v>
      </c>
      <c r="L19" s="45">
        <f t="shared" si="2"/>
        <v>1.161830357</v>
      </c>
    </row>
    <row r="20">
      <c r="A20" s="43">
        <v>19.0</v>
      </c>
      <c r="B20" s="43" t="s">
        <v>42</v>
      </c>
      <c r="C20" s="43">
        <v>35.0</v>
      </c>
      <c r="D20" s="43">
        <v>7.0</v>
      </c>
      <c r="E20" s="43">
        <v>8.0</v>
      </c>
      <c r="F20" s="43">
        <v>20.0</v>
      </c>
      <c r="G20" s="43">
        <v>41.0</v>
      </c>
      <c r="H20" s="43">
        <v>70.0</v>
      </c>
      <c r="I20" s="43">
        <v>-29.0</v>
      </c>
      <c r="J20" s="44">
        <v>29.0</v>
      </c>
      <c r="K20" s="45">
        <f t="shared" si="1"/>
        <v>0.9073341837</v>
      </c>
      <c r="L20" s="45">
        <f t="shared" si="2"/>
        <v>1.549107143</v>
      </c>
    </row>
    <row r="21">
      <c r="A21" s="43">
        <v>20.0</v>
      </c>
      <c r="B21" s="43" t="s">
        <v>43</v>
      </c>
      <c r="C21" s="43">
        <v>34.0</v>
      </c>
      <c r="D21" s="43">
        <v>2.0</v>
      </c>
      <c r="E21" s="43">
        <v>9.0</v>
      </c>
      <c r="F21" s="43">
        <v>23.0</v>
      </c>
      <c r="G21" s="43">
        <v>26.0</v>
      </c>
      <c r="H21" s="43">
        <v>73.0</v>
      </c>
      <c r="I21" s="43">
        <v>-47.0</v>
      </c>
      <c r="J21" s="44">
        <v>15.0</v>
      </c>
      <c r="K21" s="45">
        <f t="shared" si="1"/>
        <v>0.5923056723</v>
      </c>
      <c r="L21" s="45">
        <f t="shared" si="2"/>
        <v>1.66301208</v>
      </c>
    </row>
    <row r="22">
      <c r="J22" s="46"/>
    </row>
    <row r="24">
      <c r="F24" s="43" t="s">
        <v>44</v>
      </c>
      <c r="G24" s="47">
        <f>SUM(G2:G21)/SUM(C2:C21)</f>
        <v>1.291066282</v>
      </c>
    </row>
  </sheetData>
  <drawing r:id="rId1"/>
</worksheet>
</file>